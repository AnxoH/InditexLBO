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Escritorio\MEFI\Asignaturas\Módulo 1\Corporate Finance\Inditex LBO\Excels\"/>
    </mc:Choice>
  </mc:AlternateContent>
  <xr:revisionPtr revIDLastSave="0" documentId="8_{268CEE23-FD05-4D42-BA49-D560213F53C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structions" sheetId="1" r:id="rId1"/>
    <sheet name="LBO Summary" sheetId="2" r:id="rId2"/>
    <sheet name="Active Case" sheetId="3" r:id="rId3"/>
    <sheet name="Debt &amp; Covenants" sheetId="4" r:id="rId4"/>
    <sheet name="Tax &amp; WACC" sheetId="5" r:id="rId5"/>
    <sheet name="Checks" sheetId="6" r:id="rId6"/>
  </sheets>
  <externalReferences>
    <externalReference r:id="rId7"/>
  </externalReferences>
  <definedNames>
    <definedName name="_1__123Graph_BCHART_5" hidden="1">'[1]#REF'!#REF!</definedName>
    <definedName name="_Order1" hidden="1">0</definedName>
    <definedName name="_Table1_In1" hidden="1">#REF!</definedName>
    <definedName name="_Table1_Out" hidden="1">#REF!</definedName>
    <definedName name="_Table2_In2" hidden="1">#REF!</definedName>
    <definedName name="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1e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df" hidden="1">#REF!</definedName>
    <definedName name="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IQWBGuid" hidden="1">"d41c40b3-ff5a-4b66-b647-8a035af2b7fc"</definedName>
    <definedName name="dsf" hidden="1">'[1]#REF'!#REF!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FFO_DIFF_REUT" hidden="1">"c3890"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 hidden="1">15000</definedName>
    <definedName name="IQ_MTD" hidden="1">800000</definedName>
    <definedName name="IQ_NAMES_REVISION_DATE_" hidden="1">41180.5528009259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PENED55" hidden="1">1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REF_ISSUED_BR" hidden="1">"c1047"</definedName>
    <definedName name="IQ_PREF_OTHER_BR" hidden="1">"c1055"</definedName>
    <definedName name="IQ_PREF_REP_BR" hidden="1">"c1062"</definedName>
    <definedName name="IQ_PRICE_TARGET_REUT" hidden="1">"c3631"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UB_FileID" hidden="1">"L10003649.xls"</definedName>
    <definedName name="PUB_UserID" hidden="1">"MAYERX"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edo" hidden="1">{#N/A,#N/A,FALSE,"ACQ_GRAPHS";#N/A,#N/A,FALSE,"T_1 GRAPHS";#N/A,#N/A,FALSE,"T_2 GRAPHS";#N/A,#N/A,FALSE,"COMB_GRAPHS"}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ncount" hidden="1">1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xtRefCopyRangeCount" hidden="1">4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CF._.II._.Report.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RAPHS." hidden="1">{#N/A,#N/A,FALSE,"ACQ_GRAPHS";#N/A,#N/A,FALSE,"T_1 GRAPHS";#N/A,#N/A,FALSE,"T_2 GRAPHS";#N/A,#N/A,FALSE,"COMB_GRAPHS"}</definedName>
    <definedName name="wrn.Print." hidden="1">{"vi1",#N/A,FALSE,"Financial Statements";"vi2",#N/A,FALSE,"Financial Statements";#N/A,#N/A,FALSE,"DCF"}</definedName>
    <definedName name="wrn.PTCP." hidden="1">{#N/A,#N/A,TRUE,"1";#N/A,#N/A,TRUE,"2";#N/A,#N/A,TRUE,"3";#N/A,#N/A,TRUE,"4";#N/A,#N/A,TRUE,"5";#N/A,#N/A,TRUE,"6";#N/A,#N/A,TRUE,"7";#N/A,#N/A,TRUE,"8";#N/A,#N/A,TRUE,"9"}</definedName>
    <definedName name="wrn.PTMP96." hidden="1">{#N/A,#N/A,FALSE,"1";#N/A,#N/A,FALSE,"2";#N/A,#N/A,FALSE,"3";#N/A,#N/A,FALSE,"4";#N/A,#N/A,FALSE,"5";#N/A,#N/A,FALSE,"6";#N/A,#N/A,FALSE,"7";#N/A,#N/A,FALSE,"8"}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E10" i="4"/>
  <c r="E57" i="5"/>
  <c r="L53" i="5"/>
  <c r="K53" i="5"/>
  <c r="J53" i="5"/>
  <c r="I53" i="5"/>
  <c r="H53" i="5"/>
  <c r="G53" i="5"/>
  <c r="F53" i="5"/>
  <c r="E53" i="5"/>
  <c r="F32" i="5"/>
  <c r="E15" i="5"/>
  <c r="F13" i="5"/>
  <c r="G13" i="5" s="1"/>
  <c r="H13" i="5" s="1"/>
  <c r="I13" i="5" s="1"/>
  <c r="J13" i="5" s="1"/>
  <c r="K13" i="5" s="1"/>
  <c r="L13" i="5" s="1"/>
  <c r="J11" i="5"/>
  <c r="L58" i="3"/>
  <c r="M56" i="3"/>
  <c r="L54" i="3"/>
  <c r="K54" i="3"/>
  <c r="J54" i="3"/>
  <c r="I54" i="3"/>
  <c r="L48" i="3"/>
  <c r="K48" i="3"/>
  <c r="J48" i="3"/>
  <c r="I48" i="3"/>
  <c r="M47" i="3"/>
  <c r="L47" i="3"/>
  <c r="K47" i="3"/>
  <c r="J47" i="3"/>
  <c r="L42" i="3"/>
  <c r="K42" i="3"/>
  <c r="J42" i="3"/>
  <c r="I42" i="3"/>
  <c r="J37" i="3"/>
  <c r="K37" i="3" s="1"/>
  <c r="L37" i="3" s="1"/>
  <c r="M37" i="3" s="1"/>
  <c r="N37" i="3" s="1"/>
  <c r="O37" i="3" s="1"/>
  <c r="P37" i="3" s="1"/>
  <c r="Q37" i="3" s="1"/>
  <c r="R37" i="3" s="1"/>
  <c r="S37" i="3" s="1"/>
  <c r="L32" i="3"/>
  <c r="K32" i="3"/>
  <c r="J32" i="3"/>
  <c r="I32" i="3"/>
  <c r="L26" i="3"/>
  <c r="K26" i="3"/>
  <c r="J26" i="3"/>
  <c r="I26" i="3"/>
  <c r="L24" i="3"/>
  <c r="K24" i="3"/>
  <c r="J24" i="3"/>
  <c r="I24" i="3"/>
  <c r="L22" i="3"/>
  <c r="K22" i="3"/>
  <c r="J22" i="3"/>
  <c r="I22" i="3"/>
  <c r="J20" i="3"/>
  <c r="K20" i="3" s="1"/>
  <c r="L20" i="3" s="1"/>
  <c r="S17" i="3"/>
  <c r="R17" i="3"/>
  <c r="Q17" i="3"/>
  <c r="L17" i="3"/>
  <c r="K17" i="3"/>
  <c r="J17" i="3"/>
  <c r="I17" i="3"/>
  <c r="H17" i="3"/>
  <c r="L16" i="3"/>
  <c r="K16" i="3"/>
  <c r="J16" i="3"/>
  <c r="I16" i="3"/>
  <c r="H16" i="3"/>
  <c r="L15" i="3"/>
  <c r="K15" i="3"/>
  <c r="J15" i="3"/>
  <c r="I15" i="3"/>
  <c r="H15" i="3"/>
  <c r="L14" i="3"/>
  <c r="K14" i="3"/>
  <c r="J14" i="3"/>
  <c r="I14" i="3"/>
  <c r="H14" i="3"/>
  <c r="L13" i="3"/>
  <c r="K13" i="3"/>
  <c r="J13" i="3"/>
  <c r="I13" i="3"/>
  <c r="H13" i="3"/>
  <c r="L12" i="3"/>
  <c r="K12" i="3"/>
  <c r="J12" i="3"/>
  <c r="H12" i="3"/>
  <c r="H11" i="3"/>
  <c r="L10" i="3"/>
  <c r="K10" i="3"/>
  <c r="J10" i="3"/>
  <c r="I10" i="3"/>
  <c r="H10" i="3"/>
  <c r="H9" i="3"/>
  <c r="H8" i="3"/>
  <c r="J7" i="3"/>
  <c r="K7" i="3" s="1"/>
  <c r="L7" i="3" s="1"/>
  <c r="M7" i="3" s="1"/>
  <c r="N7" i="3" s="1"/>
  <c r="O7" i="3" s="1"/>
  <c r="P7" i="3" s="1"/>
  <c r="Q7" i="3" s="1"/>
  <c r="R7" i="3" s="1"/>
  <c r="S7" i="3" s="1"/>
  <c r="H7" i="3"/>
  <c r="K106" i="2"/>
  <c r="I106" i="2"/>
  <c r="K100" i="2"/>
  <c r="I100" i="2"/>
  <c r="D97" i="2"/>
  <c r="E89" i="2"/>
  <c r="E83" i="2"/>
  <c r="E72" i="2"/>
  <c r="D69" i="2"/>
  <c r="E61" i="2"/>
  <c r="F48" i="2"/>
  <c r="L44" i="2"/>
  <c r="E29" i="2"/>
  <c r="G27" i="2"/>
  <c r="G26" i="2"/>
  <c r="G25" i="2"/>
  <c r="F20" i="2"/>
  <c r="E37" i="2" s="1"/>
  <c r="L15" i="2"/>
  <c r="F15" i="2"/>
  <c r="E7" i="6" s="1"/>
  <c r="F7" i="6" s="1"/>
  <c r="H11" i="2"/>
  <c r="F11" i="2"/>
  <c r="F13" i="2" s="1"/>
  <c r="F8" i="2"/>
  <c r="L107" i="4"/>
  <c r="K107" i="4"/>
  <c r="J107" i="4"/>
  <c r="I107" i="4"/>
  <c r="H107" i="4"/>
  <c r="G107" i="4"/>
  <c r="F107" i="4"/>
  <c r="E92" i="4"/>
  <c r="E93" i="4" s="1"/>
  <c r="F76" i="4"/>
  <c r="G76" i="4" s="1"/>
  <c r="H76" i="4" s="1"/>
  <c r="I76" i="4" s="1"/>
  <c r="J76" i="4" s="1"/>
  <c r="K76" i="4" s="1"/>
  <c r="L76" i="4" s="1"/>
  <c r="E58" i="4"/>
  <c r="E59" i="4" s="1"/>
  <c r="L53" i="4"/>
  <c r="K53" i="4"/>
  <c r="J53" i="4"/>
  <c r="I53" i="4"/>
  <c r="H53" i="4"/>
  <c r="G53" i="4"/>
  <c r="F53" i="4"/>
  <c r="L44" i="4"/>
  <c r="K44" i="4"/>
  <c r="J44" i="4"/>
  <c r="I44" i="4"/>
  <c r="H44" i="4"/>
  <c r="G44" i="4"/>
  <c r="F44" i="4"/>
  <c r="L35" i="4"/>
  <c r="K35" i="4"/>
  <c r="J35" i="4"/>
  <c r="I35" i="4"/>
  <c r="H35" i="4"/>
  <c r="G35" i="4"/>
  <c r="F35" i="4"/>
  <c r="J25" i="4"/>
  <c r="F19" i="4"/>
  <c r="G19" i="4" s="1"/>
  <c r="H19" i="4" s="1"/>
  <c r="I19" i="4" s="1"/>
  <c r="J19" i="4" s="1"/>
  <c r="K19" i="4" s="1"/>
  <c r="L19" i="4" s="1"/>
  <c r="E15" i="4"/>
  <c r="M11" i="4"/>
  <c r="E11" i="4"/>
  <c r="M10" i="4"/>
  <c r="M9" i="4"/>
  <c r="E9" i="4"/>
  <c r="E8" i="4"/>
  <c r="M57" i="3" l="1"/>
  <c r="M58" i="3" s="1"/>
  <c r="N56" i="3" s="1"/>
  <c r="L43" i="3"/>
  <c r="L44" i="3"/>
  <c r="K43" i="3"/>
  <c r="K44" i="3"/>
  <c r="J43" i="3"/>
  <c r="J44" i="3"/>
  <c r="I43" i="3"/>
  <c r="L30" i="3"/>
  <c r="L27" i="3"/>
  <c r="T26" i="3"/>
  <c r="K30" i="3"/>
  <c r="K27" i="3"/>
  <c r="J30" i="3"/>
  <c r="J27" i="3"/>
  <c r="I30" i="3"/>
  <c r="I27" i="3"/>
  <c r="M20" i="3"/>
  <c r="T21" i="3"/>
  <c r="T23" i="3"/>
  <c r="T25" i="3"/>
  <c r="T28" i="3"/>
  <c r="M17" i="3"/>
  <c r="P17" i="3"/>
  <c r="O17" i="3"/>
  <c r="N17" i="3"/>
  <c r="P16" i="3"/>
  <c r="O16" i="3"/>
  <c r="N16" i="3"/>
  <c r="M16" i="3"/>
  <c r="S16" i="3"/>
  <c r="R16" i="3"/>
  <c r="Q16" i="3"/>
  <c r="S15" i="3"/>
  <c r="R15" i="3"/>
  <c r="Q15" i="3"/>
  <c r="P15" i="3"/>
  <c r="N15" i="3"/>
  <c r="M15" i="3"/>
  <c r="O15" i="3"/>
  <c r="S14" i="3"/>
  <c r="R14" i="3"/>
  <c r="Q14" i="3"/>
  <c r="O14" i="3"/>
  <c r="N14" i="3"/>
  <c r="M14" i="3"/>
  <c r="P14" i="3"/>
  <c r="P13" i="3"/>
  <c r="O13" i="3"/>
  <c r="N13" i="3"/>
  <c r="M13" i="3"/>
  <c r="S13" i="3"/>
  <c r="R13" i="3"/>
  <c r="Q13" i="3"/>
  <c r="P12" i="3"/>
  <c r="O12" i="3"/>
  <c r="N12" i="3"/>
  <c r="M12" i="3"/>
  <c r="M28" i="3" s="1"/>
  <c r="N28" i="3" s="1"/>
  <c r="O28" i="3" s="1"/>
  <c r="P28" i="3" s="1"/>
  <c r="Q28" i="3" s="1"/>
  <c r="R28" i="3" s="1"/>
  <c r="S28" i="3" s="1"/>
  <c r="S12" i="3"/>
  <c r="R12" i="3"/>
  <c r="Q12" i="3"/>
  <c r="S11" i="3"/>
  <c r="R11" i="3"/>
  <c r="Q11" i="3"/>
  <c r="P11" i="3"/>
  <c r="O11" i="3"/>
  <c r="N11" i="3"/>
  <c r="M11" i="3"/>
  <c r="M25" i="3" s="1"/>
  <c r="N25" i="3" s="1"/>
  <c r="O25" i="3" s="1"/>
  <c r="P25" i="3" s="1"/>
  <c r="Q25" i="3" s="1"/>
  <c r="R25" i="3" s="1"/>
  <c r="S25" i="3" s="1"/>
  <c r="S10" i="3"/>
  <c r="R10" i="3"/>
  <c r="Q10" i="3"/>
  <c r="P10" i="3"/>
  <c r="O10" i="3"/>
  <c r="N10" i="3"/>
  <c r="M10" i="3"/>
  <c r="S9" i="3"/>
  <c r="R9" i="3"/>
  <c r="Q9" i="3"/>
  <c r="P9" i="3"/>
  <c r="O9" i="3"/>
  <c r="N9" i="3"/>
  <c r="M9" i="3"/>
  <c r="M21" i="3" s="1"/>
  <c r="F72" i="2"/>
  <c r="F89" i="2" s="1"/>
  <c r="D90" i="2" s="1"/>
  <c r="F61" i="2"/>
  <c r="D62" i="2" s="1"/>
  <c r="G48" i="2"/>
  <c r="I29" i="2"/>
  <c r="F16" i="2"/>
  <c r="F17" i="2"/>
  <c r="L7" i="2"/>
  <c r="E54" i="2"/>
  <c r="E69" i="4"/>
  <c r="F92" i="4"/>
  <c r="E60" i="4"/>
  <c r="F57" i="4"/>
  <c r="L25" i="4"/>
  <c r="T22" i="3"/>
  <c r="T32" i="3"/>
  <c r="N57" i="3" l="1"/>
  <c r="N58" i="3"/>
  <c r="O56" i="3" s="1"/>
  <c r="T30" i="3"/>
  <c r="L31" i="3"/>
  <c r="L33" i="3"/>
  <c r="F7" i="2"/>
  <c r="E14" i="5"/>
  <c r="E16" i="5" s="1"/>
  <c r="E49" i="2"/>
  <c r="K31" i="3"/>
  <c r="K33" i="3"/>
  <c r="J31" i="3"/>
  <c r="J33" i="3"/>
  <c r="I31" i="3"/>
  <c r="I33" i="3"/>
  <c r="N20" i="3"/>
  <c r="G62" i="3"/>
  <c r="N21" i="3"/>
  <c r="M23" i="3"/>
  <c r="M39" i="3"/>
  <c r="M42" i="3" s="1"/>
  <c r="M40" i="3"/>
  <c r="M41" i="3"/>
  <c r="M52" i="3"/>
  <c r="M53" i="3"/>
  <c r="F82" i="4" s="1"/>
  <c r="H48" i="2"/>
  <c r="G61" i="2"/>
  <c r="D63" i="2" s="1"/>
  <c r="G72" i="2"/>
  <c r="G89" i="2" s="1"/>
  <c r="D91" i="2" s="1"/>
  <c r="J34" i="2"/>
  <c r="E38" i="2"/>
  <c r="J33" i="2"/>
  <c r="J36" i="2"/>
  <c r="L8" i="2"/>
  <c r="L11" i="2" s="1"/>
  <c r="L9" i="2"/>
  <c r="F61" i="4"/>
  <c r="M8" i="4"/>
  <c r="M25" i="4"/>
  <c r="E9" i="6" s="1"/>
  <c r="F9" i="6" s="1"/>
  <c r="O57" i="3" l="1"/>
  <c r="O58" i="3"/>
  <c r="P56" i="3" s="1"/>
  <c r="G37" i="2"/>
  <c r="G29" i="2"/>
  <c r="F11" i="4"/>
  <c r="F25" i="2"/>
  <c r="F26" i="2"/>
  <c r="F27" i="2"/>
  <c r="L37" i="2"/>
  <c r="O20" i="3"/>
  <c r="G63" i="3"/>
  <c r="O21" i="3"/>
  <c r="N23" i="3"/>
  <c r="N39" i="3"/>
  <c r="N40" i="3"/>
  <c r="N41" i="3"/>
  <c r="N52" i="3"/>
  <c r="N53" i="3"/>
  <c r="G82" i="4" s="1"/>
  <c r="M24" i="3"/>
  <c r="M26" i="3"/>
  <c r="M22" i="3"/>
  <c r="M44" i="3"/>
  <c r="F79" i="4" s="1"/>
  <c r="M43" i="3"/>
  <c r="M54" i="3"/>
  <c r="F80" i="4"/>
  <c r="I48" i="2"/>
  <c r="H61" i="2"/>
  <c r="D64" i="2" s="1"/>
  <c r="H72" i="2"/>
  <c r="H89" i="2" s="1"/>
  <c r="D92" i="2" s="1"/>
  <c r="L34" i="2"/>
  <c r="G38" i="2"/>
  <c r="E43" i="2"/>
  <c r="L33" i="2"/>
  <c r="L36" i="2"/>
  <c r="E50" i="2"/>
  <c r="E51" i="2" s="1"/>
  <c r="F50" i="2"/>
  <c r="G50" i="2"/>
  <c r="H50" i="2"/>
  <c r="I50" i="2"/>
  <c r="J50" i="2"/>
  <c r="K50" i="2"/>
  <c r="L50" i="2"/>
  <c r="F100" i="2"/>
  <c r="T33" i="3"/>
  <c r="P57" i="3" l="1"/>
  <c r="P58" i="3"/>
  <c r="Q56" i="3" s="1"/>
  <c r="G28" i="2"/>
  <c r="G30" i="2" s="1"/>
  <c r="F106" i="2" s="1"/>
  <c r="J106" i="2" s="1"/>
  <c r="F28" i="2"/>
  <c r="J8" i="4"/>
  <c r="F30" i="2"/>
  <c r="L16" i="2" s="1"/>
  <c r="J10" i="5" s="1"/>
  <c r="E8" i="6" s="1"/>
  <c r="F8" i="6" s="1"/>
  <c r="E33" i="2"/>
  <c r="E25" i="2"/>
  <c r="E34" i="2"/>
  <c r="J9" i="4"/>
  <c r="E30" i="4" s="1"/>
  <c r="E32" i="4" s="1"/>
  <c r="E34" i="4" s="1"/>
  <c r="E26" i="2"/>
  <c r="I26" i="2" s="1"/>
  <c r="E35" i="2"/>
  <c r="J10" i="4"/>
  <c r="E40" i="4" s="1"/>
  <c r="E43" i="4" s="1"/>
  <c r="F39" i="4" s="1"/>
  <c r="E27" i="2"/>
  <c r="I27" i="2" s="1"/>
  <c r="P20" i="3"/>
  <c r="G64" i="3"/>
  <c r="P21" i="3"/>
  <c r="O23" i="3"/>
  <c r="O39" i="3"/>
  <c r="O40" i="3"/>
  <c r="O41" i="3"/>
  <c r="O52" i="3"/>
  <c r="O53" i="3"/>
  <c r="H82" i="4" s="1"/>
  <c r="N24" i="3"/>
  <c r="N26" i="3"/>
  <c r="N22" i="3"/>
  <c r="N54" i="3"/>
  <c r="G80" i="4"/>
  <c r="M27" i="3"/>
  <c r="M30" i="3"/>
  <c r="H62" i="3"/>
  <c r="M48" i="3"/>
  <c r="J48" i="2"/>
  <c r="I61" i="2"/>
  <c r="D65" i="2" s="1"/>
  <c r="I72" i="2"/>
  <c r="I89" i="2" s="1"/>
  <c r="D93" i="2" s="1"/>
  <c r="G43" i="2"/>
  <c r="E46" i="5"/>
  <c r="E52" i="2"/>
  <c r="J100" i="2"/>
  <c r="N42" i="3"/>
  <c r="Q57" i="3" l="1"/>
  <c r="Q58" i="3"/>
  <c r="R56" i="3" s="1"/>
  <c r="E36" i="2"/>
  <c r="J11" i="4"/>
  <c r="E49" i="4" s="1"/>
  <c r="E52" i="4" s="1"/>
  <c r="F48" i="4" s="1"/>
  <c r="E28" i="2"/>
  <c r="E22" i="4"/>
  <c r="J7" i="4"/>
  <c r="E7" i="4" s="1"/>
  <c r="E56" i="5" s="1"/>
  <c r="E58" i="5" s="1"/>
  <c r="M7" i="4"/>
  <c r="G33" i="2"/>
  <c r="I25" i="2"/>
  <c r="G34" i="2"/>
  <c r="F29" i="4"/>
  <c r="F31" i="4"/>
  <c r="G35" i="2"/>
  <c r="F45" i="4"/>
  <c r="F41" i="4"/>
  <c r="F43" i="4" s="1"/>
  <c r="G39" i="4" s="1"/>
  <c r="Q20" i="3"/>
  <c r="G65" i="3"/>
  <c r="Q21" i="3"/>
  <c r="P23" i="3"/>
  <c r="P39" i="3"/>
  <c r="P40" i="3"/>
  <c r="P41" i="3"/>
  <c r="P52" i="3"/>
  <c r="P53" i="3"/>
  <c r="I82" i="4" s="1"/>
  <c r="O24" i="3"/>
  <c r="O26" i="3"/>
  <c r="O22" i="3"/>
  <c r="O54" i="3"/>
  <c r="H80" i="4"/>
  <c r="N27" i="3"/>
  <c r="N30" i="3"/>
  <c r="H63" i="3"/>
  <c r="N48" i="3"/>
  <c r="M31" i="3"/>
  <c r="F14" i="5"/>
  <c r="F77" i="4"/>
  <c r="F49" i="2"/>
  <c r="F51" i="2" s="1"/>
  <c r="M62" i="3"/>
  <c r="M69" i="3" s="1"/>
  <c r="M49" i="3" s="1"/>
  <c r="N62" i="3"/>
  <c r="O62" i="3"/>
  <c r="P62" i="3"/>
  <c r="K48" i="2"/>
  <c r="J61" i="2"/>
  <c r="D66" i="2" s="1"/>
  <c r="J72" i="2"/>
  <c r="J89" i="2" s="1"/>
  <c r="D94" i="2" s="1"/>
  <c r="O44" i="3"/>
  <c r="H79" i="4" s="1"/>
  <c r="N43" i="3"/>
  <c r="N44" i="3"/>
  <c r="G79" i="4" s="1"/>
  <c r="O42" i="3"/>
  <c r="R57" i="3" l="1"/>
  <c r="R58" i="3"/>
  <c r="S56" i="3" s="1"/>
  <c r="G36" i="2"/>
  <c r="F54" i="4"/>
  <c r="F50" i="4"/>
  <c r="F52" i="4"/>
  <c r="G48" i="4" s="1"/>
  <c r="E24" i="4"/>
  <c r="E65" i="4"/>
  <c r="F32" i="4"/>
  <c r="F36" i="4"/>
  <c r="G41" i="4"/>
  <c r="G43" i="4"/>
  <c r="H39" i="4" s="1"/>
  <c r="G45" i="4"/>
  <c r="R20" i="3"/>
  <c r="G66" i="3"/>
  <c r="R21" i="3"/>
  <c r="Q23" i="3"/>
  <c r="Q39" i="3"/>
  <c r="Q40" i="3"/>
  <c r="Q41" i="3"/>
  <c r="Q52" i="3"/>
  <c r="Q53" i="3"/>
  <c r="J82" i="4" s="1"/>
  <c r="P24" i="3"/>
  <c r="P26" i="3"/>
  <c r="P22" i="3"/>
  <c r="P54" i="3"/>
  <c r="I80" i="4"/>
  <c r="O27" i="3"/>
  <c r="O30" i="3"/>
  <c r="H64" i="3"/>
  <c r="O48" i="3"/>
  <c r="N31" i="3"/>
  <c r="G14" i="5"/>
  <c r="G77" i="4"/>
  <c r="G49" i="2"/>
  <c r="G51" i="2" s="1"/>
  <c r="N63" i="3"/>
  <c r="O63" i="3"/>
  <c r="F27" i="5"/>
  <c r="F28" i="5" s="1"/>
  <c r="F52" i="2"/>
  <c r="F46" i="5"/>
  <c r="M50" i="3"/>
  <c r="N47" i="3" s="1"/>
  <c r="M32" i="3"/>
  <c r="L48" i="2"/>
  <c r="K61" i="2"/>
  <c r="D67" i="2" s="1"/>
  <c r="K72" i="2"/>
  <c r="K89" i="2" s="1"/>
  <c r="D95" i="2" s="1"/>
  <c r="O43" i="3"/>
  <c r="P42" i="3"/>
  <c r="P44" i="3" s="1"/>
  <c r="I79" i="4" s="1"/>
  <c r="I28" i="2"/>
  <c r="I30" i="2" s="1"/>
  <c r="E30" i="2"/>
  <c r="Q62" i="3"/>
  <c r="R62" i="3" s="1"/>
  <c r="S57" i="3" l="1"/>
  <c r="S58" i="3"/>
  <c r="G50" i="4"/>
  <c r="G52" i="4" s="1"/>
  <c r="H48" i="4" s="1"/>
  <c r="G54" i="4"/>
  <c r="E67" i="4"/>
  <c r="E68" i="4"/>
  <c r="F21" i="4"/>
  <c r="F23" i="4"/>
  <c r="F65" i="4" s="1"/>
  <c r="F85" i="4" s="1"/>
  <c r="H45" i="4"/>
  <c r="H41" i="4"/>
  <c r="H43" i="4" s="1"/>
  <c r="I39" i="4" s="1"/>
  <c r="S20" i="3"/>
  <c r="G67" i="3"/>
  <c r="S21" i="3"/>
  <c r="R23" i="3"/>
  <c r="R39" i="3"/>
  <c r="R40" i="3"/>
  <c r="R41" i="3"/>
  <c r="R52" i="3"/>
  <c r="R53" i="3"/>
  <c r="K82" i="4" s="1"/>
  <c r="Q24" i="3"/>
  <c r="Q26" i="3"/>
  <c r="Q22" i="3"/>
  <c r="Q54" i="3"/>
  <c r="J80" i="4"/>
  <c r="P27" i="3"/>
  <c r="P30" i="3"/>
  <c r="H65" i="3"/>
  <c r="P48" i="3"/>
  <c r="O31" i="3"/>
  <c r="H14" i="5"/>
  <c r="H77" i="4"/>
  <c r="H49" i="2"/>
  <c r="H51" i="2" s="1"/>
  <c r="O64" i="3"/>
  <c r="O69" i="3" s="1"/>
  <c r="O49" i="3" s="1"/>
  <c r="O32" i="3" s="1"/>
  <c r="P64" i="3"/>
  <c r="Q64" i="3" s="1"/>
  <c r="G16" i="5"/>
  <c r="G27" i="5"/>
  <c r="G28" i="5" s="1"/>
  <c r="G52" i="2"/>
  <c r="G46" i="5"/>
  <c r="M33" i="3"/>
  <c r="F15" i="5"/>
  <c r="F16" i="5" s="1"/>
  <c r="L61" i="2"/>
  <c r="D68" i="2" s="1"/>
  <c r="L72" i="2"/>
  <c r="L89" i="2" s="1"/>
  <c r="D96" i="2" s="1"/>
  <c r="J97" i="2"/>
  <c r="K97" i="2"/>
  <c r="I97" i="2"/>
  <c r="G97" i="2"/>
  <c r="H97" i="2"/>
  <c r="P43" i="3"/>
  <c r="H30" i="2"/>
  <c r="E11" i="5"/>
  <c r="J35" i="2"/>
  <c r="Q42" i="3"/>
  <c r="Q44" i="3" s="1"/>
  <c r="J79" i="4" s="1"/>
  <c r="N69" i="3"/>
  <c r="N49" i="3" s="1"/>
  <c r="P63" i="3"/>
  <c r="Q63" i="3"/>
  <c r="S62" i="3"/>
  <c r="H50" i="4" l="1"/>
  <c r="H54" i="4"/>
  <c r="H52" i="4"/>
  <c r="I48" i="4" s="1"/>
  <c r="E97" i="4"/>
  <c r="E98" i="4"/>
  <c r="E70" i="4"/>
  <c r="E53" i="2"/>
  <c r="E55" i="2" s="1"/>
  <c r="F24" i="4"/>
  <c r="F26" i="4" s="1"/>
  <c r="F64" i="4"/>
  <c r="I45" i="4"/>
  <c r="I41" i="4"/>
  <c r="I43" i="4" s="1"/>
  <c r="J39" i="4" s="1"/>
  <c r="U25" i="3"/>
  <c r="U28" i="3"/>
  <c r="G68" i="3"/>
  <c r="U21" i="3"/>
  <c r="S23" i="3"/>
  <c r="S39" i="3"/>
  <c r="S40" i="3"/>
  <c r="S41" i="3"/>
  <c r="S52" i="3"/>
  <c r="S53" i="3"/>
  <c r="L82" i="4" s="1"/>
  <c r="R24" i="3"/>
  <c r="R26" i="3"/>
  <c r="R22" i="3"/>
  <c r="R54" i="3"/>
  <c r="K80" i="4"/>
  <c r="Q27" i="3"/>
  <c r="Q30" i="3"/>
  <c r="H66" i="3"/>
  <c r="Q48" i="3"/>
  <c r="P31" i="3"/>
  <c r="I14" i="5"/>
  <c r="I77" i="4"/>
  <c r="I49" i="2"/>
  <c r="I51" i="2" s="1"/>
  <c r="P65" i="3"/>
  <c r="Q65" i="3"/>
  <c r="H16" i="5"/>
  <c r="H27" i="5"/>
  <c r="H28" i="5" s="1"/>
  <c r="H52" i="2"/>
  <c r="H46" i="5"/>
  <c r="G37" i="5"/>
  <c r="F37" i="5"/>
  <c r="F69" i="2"/>
  <c r="J69" i="2"/>
  <c r="G69" i="2"/>
  <c r="F97" i="2"/>
  <c r="F18" i="5"/>
  <c r="G18" i="5"/>
  <c r="H18" i="5"/>
  <c r="I18" i="5"/>
  <c r="J18" i="5"/>
  <c r="K18" i="5"/>
  <c r="L18" i="5"/>
  <c r="J40" i="2"/>
  <c r="K35" i="2" s="1"/>
  <c r="L35" i="2"/>
  <c r="L40" i="2" s="1"/>
  <c r="R44" i="3"/>
  <c r="K79" i="4" s="1"/>
  <c r="Q43" i="3"/>
  <c r="N50" i="3"/>
  <c r="O47" i="3" s="1"/>
  <c r="O50" i="3" s="1"/>
  <c r="P47" i="3" s="1"/>
  <c r="N32" i="3"/>
  <c r="R42" i="3"/>
  <c r="H15" i="5"/>
  <c r="O33" i="3"/>
  <c r="R64" i="3"/>
  <c r="S64" i="3"/>
  <c r="I69" i="2"/>
  <c r="H69" i="2"/>
  <c r="K69" i="2"/>
  <c r="R63" i="3"/>
  <c r="S63" i="3"/>
  <c r="I50" i="4" l="1"/>
  <c r="I52" i="4"/>
  <c r="J48" i="4" s="1"/>
  <c r="I54" i="4"/>
  <c r="E99" i="4"/>
  <c r="E47" i="5"/>
  <c r="F72" i="4"/>
  <c r="F17" i="5" s="1"/>
  <c r="F71" i="4"/>
  <c r="F84" i="4" s="1"/>
  <c r="G21" i="4"/>
  <c r="J45" i="4"/>
  <c r="J41" i="4"/>
  <c r="J43" i="4" s="1"/>
  <c r="K39" i="4" s="1"/>
  <c r="U23" i="3"/>
  <c r="S24" i="3"/>
  <c r="S26" i="3"/>
  <c r="S22" i="3"/>
  <c r="U22" i="3" s="1"/>
  <c r="S54" i="3"/>
  <c r="L80" i="4"/>
  <c r="R27" i="3"/>
  <c r="R30" i="3"/>
  <c r="H67" i="3"/>
  <c r="R48" i="3"/>
  <c r="Q31" i="3"/>
  <c r="J14" i="5"/>
  <c r="J77" i="4"/>
  <c r="J49" i="2"/>
  <c r="J51" i="2" s="1"/>
  <c r="Q66" i="3"/>
  <c r="I27" i="5"/>
  <c r="I28" i="5" s="1"/>
  <c r="I52" i="2"/>
  <c r="I46" i="5"/>
  <c r="H37" i="5"/>
  <c r="E40" i="2"/>
  <c r="K37" i="2"/>
  <c r="K33" i="2"/>
  <c r="K40" i="2" s="1"/>
  <c r="K34" i="2"/>
  <c r="K36" i="2"/>
  <c r="N33" i="3"/>
  <c r="G15" i="5"/>
  <c r="R43" i="3"/>
  <c r="S42" i="3"/>
  <c r="R65" i="3"/>
  <c r="S65" i="3"/>
  <c r="P69" i="3"/>
  <c r="P49" i="3" s="1"/>
  <c r="J50" i="4" l="1"/>
  <c r="J54" i="4"/>
  <c r="J52" i="4"/>
  <c r="K48" i="4" s="1"/>
  <c r="E100" i="4"/>
  <c r="E102" i="4" s="1"/>
  <c r="E48" i="5"/>
  <c r="E49" i="5"/>
  <c r="E54" i="5" s="1"/>
  <c r="E55" i="5" s="1"/>
  <c r="E59" i="5" s="1"/>
  <c r="E60" i="5" s="1"/>
  <c r="E50" i="5"/>
  <c r="E51" i="5" s="1"/>
  <c r="F19" i="5"/>
  <c r="F29" i="5"/>
  <c r="F56" i="5"/>
  <c r="F109" i="4"/>
  <c r="F104" i="4"/>
  <c r="G23" i="4"/>
  <c r="G24" i="4"/>
  <c r="G26" i="4" s="1"/>
  <c r="K45" i="4"/>
  <c r="K41" i="4"/>
  <c r="K43" i="4" s="1"/>
  <c r="L39" i="4" s="1"/>
  <c r="U26" i="3"/>
  <c r="S27" i="3"/>
  <c r="S30" i="3"/>
  <c r="H68" i="3"/>
  <c r="S68" i="3" s="1"/>
  <c r="S48" i="3"/>
  <c r="R31" i="3"/>
  <c r="R33" i="3"/>
  <c r="K14" i="5"/>
  <c r="K77" i="4"/>
  <c r="K49" i="2"/>
  <c r="K51" i="2" s="1"/>
  <c r="R67" i="3"/>
  <c r="S67" i="3"/>
  <c r="J16" i="5"/>
  <c r="J27" i="5"/>
  <c r="J28" i="5" s="1"/>
  <c r="J52" i="2"/>
  <c r="J46" i="5"/>
  <c r="F36" i="2"/>
  <c r="F35" i="2"/>
  <c r="F34" i="2"/>
  <c r="F33" i="2"/>
  <c r="F38" i="2"/>
  <c r="F37" i="2"/>
  <c r="E5" i="6"/>
  <c r="F5" i="6" s="1"/>
  <c r="E39" i="2"/>
  <c r="P50" i="3"/>
  <c r="Q47" i="3" s="1"/>
  <c r="Q50" i="3" s="1"/>
  <c r="R47" i="3" s="1"/>
  <c r="P32" i="3"/>
  <c r="Q69" i="3"/>
  <c r="Q49" i="3" s="1"/>
  <c r="Q32" i="3" s="1"/>
  <c r="R66" i="3"/>
  <c r="R69" i="3" s="1"/>
  <c r="R49" i="3" s="1"/>
  <c r="R32" i="3" s="1"/>
  <c r="K15" i="5" s="1"/>
  <c r="S66" i="3"/>
  <c r="S69" i="3" s="1"/>
  <c r="S49" i="3" s="1"/>
  <c r="S32" i="3" s="1"/>
  <c r="S43" i="3"/>
  <c r="S44" i="3"/>
  <c r="L79" i="4" s="1"/>
  <c r="K50" i="4" l="1"/>
  <c r="K52" i="4"/>
  <c r="L48" i="4" s="1"/>
  <c r="K54" i="4"/>
  <c r="E101" i="4"/>
  <c r="F100" i="4"/>
  <c r="F31" i="5"/>
  <c r="F34" i="5" s="1"/>
  <c r="F21" i="5" s="1"/>
  <c r="F30" i="5"/>
  <c r="F38" i="5"/>
  <c r="H21" i="4"/>
  <c r="L41" i="4"/>
  <c r="L43" i="4" s="1"/>
  <c r="L45" i="4"/>
  <c r="U30" i="3"/>
  <c r="S31" i="3"/>
  <c r="S33" i="3"/>
  <c r="U33" i="3" s="1"/>
  <c r="L14" i="5"/>
  <c r="L77" i="4"/>
  <c r="L49" i="2"/>
  <c r="L51" i="2" s="1"/>
  <c r="K16" i="5"/>
  <c r="K27" i="5"/>
  <c r="K28" i="5" s="1"/>
  <c r="K52" i="2"/>
  <c r="K46" i="5"/>
  <c r="J37" i="5"/>
  <c r="F39" i="2"/>
  <c r="F40" i="2" s="1"/>
  <c r="G39" i="2"/>
  <c r="G40" i="2" s="1"/>
  <c r="E44" i="2"/>
  <c r="P33" i="3"/>
  <c r="I15" i="5"/>
  <c r="I16" i="5" s="1"/>
  <c r="Q33" i="3"/>
  <c r="J15" i="5"/>
  <c r="L15" i="5"/>
  <c r="U32" i="3"/>
  <c r="E12" i="6"/>
  <c r="F12" i="6" s="1"/>
  <c r="R50" i="3"/>
  <c r="S47" i="3" s="1"/>
  <c r="S50" i="3" s="1"/>
  <c r="L54" i="4" l="1"/>
  <c r="L50" i="4"/>
  <c r="L52" i="4"/>
  <c r="G100" i="4"/>
  <c r="F33" i="5"/>
  <c r="F35" i="5" s="1"/>
  <c r="G32" i="5" s="1"/>
  <c r="F20" i="5"/>
  <c r="F23" i="5" s="1"/>
  <c r="F22" i="5" s="1"/>
  <c r="H23" i="4"/>
  <c r="H24" i="4" s="1"/>
  <c r="H26" i="4" s="1"/>
  <c r="L16" i="5"/>
  <c r="L27" i="5"/>
  <c r="L28" i="5" s="1"/>
  <c r="L52" i="2"/>
  <c r="L46" i="5"/>
  <c r="K37" i="5"/>
  <c r="E45" i="2"/>
  <c r="F43" i="2" s="1"/>
  <c r="F44" i="2"/>
  <c r="E56" i="2" s="1"/>
  <c r="E73" i="2" s="1"/>
  <c r="G44" i="2"/>
  <c r="G45" i="2" s="1"/>
  <c r="J44" i="2"/>
  <c r="E62" i="2"/>
  <c r="E63" i="2"/>
  <c r="E64" i="2"/>
  <c r="E65" i="2"/>
  <c r="E66" i="2"/>
  <c r="E67" i="2"/>
  <c r="E68" i="2"/>
  <c r="J43" i="2"/>
  <c r="I37" i="5"/>
  <c r="H100" i="4" l="1"/>
  <c r="F78" i="4"/>
  <c r="F81" i="4" s="1"/>
  <c r="F39" i="5"/>
  <c r="F24" i="5"/>
  <c r="I21" i="4"/>
  <c r="L37" i="5"/>
  <c r="E57" i="2"/>
  <c r="F45" i="2"/>
  <c r="E6" i="6" s="1"/>
  <c r="F6" i="6" s="1"/>
  <c r="E75" i="2"/>
  <c r="E76" i="2" s="1"/>
  <c r="E82" i="2" s="1"/>
  <c r="E74" i="2"/>
  <c r="E84" i="2" s="1"/>
  <c r="K44" i="2"/>
  <c r="E94" i="2"/>
  <c r="E96" i="2"/>
  <c r="E92" i="2"/>
  <c r="E93" i="2"/>
  <c r="E95" i="2"/>
  <c r="E90" i="2"/>
  <c r="E91" i="2"/>
  <c r="E69" i="2"/>
  <c r="K43" i="2"/>
  <c r="J46" i="2"/>
  <c r="L77" i="2"/>
  <c r="H77" i="2"/>
  <c r="F77" i="2"/>
  <c r="J77" i="2"/>
  <c r="I77" i="2"/>
  <c r="G77" i="2"/>
  <c r="K77" i="2"/>
  <c r="I100" i="4" l="1"/>
  <c r="F105" i="4"/>
  <c r="F108" i="4" s="1"/>
  <c r="F83" i="4"/>
  <c r="F40" i="5"/>
  <c r="F41" i="5"/>
  <c r="I23" i="4"/>
  <c r="I24" i="4" s="1"/>
  <c r="I26" i="4" s="1"/>
  <c r="E97" i="2"/>
  <c r="J100" i="4" l="1"/>
  <c r="F86" i="4"/>
  <c r="F106" i="4"/>
  <c r="F57" i="5"/>
  <c r="F58" i="5" s="1"/>
  <c r="J21" i="4"/>
  <c r="K100" i="4" l="1"/>
  <c r="F87" i="4"/>
  <c r="J23" i="4"/>
  <c r="J26" i="4"/>
  <c r="J24" i="4"/>
  <c r="L100" i="4" l="1"/>
  <c r="F58" i="4"/>
  <c r="K21" i="4"/>
  <c r="F59" i="4" l="1"/>
  <c r="F88" i="4"/>
  <c r="K23" i="4"/>
  <c r="K24" i="4"/>
  <c r="K26" i="4" s="1"/>
  <c r="G57" i="4" l="1"/>
  <c r="F60" i="4"/>
  <c r="F33" i="4"/>
  <c r="L21" i="4"/>
  <c r="G61" i="4" l="1"/>
  <c r="F89" i="4"/>
  <c r="F90" i="4" s="1"/>
  <c r="F93" i="4" s="1"/>
  <c r="F66" i="4"/>
  <c r="F34" i="4"/>
  <c r="L23" i="4"/>
  <c r="L24" i="4" s="1"/>
  <c r="L26" i="4" s="1"/>
  <c r="F68" i="4" l="1"/>
  <c r="F67" i="4"/>
  <c r="G29" i="4"/>
  <c r="F54" i="2"/>
  <c r="F69" i="4"/>
  <c r="G92" i="4"/>
  <c r="F53" i="2" l="1"/>
  <c r="F55" i="2" s="1"/>
  <c r="F70" i="4"/>
  <c r="F98" i="4"/>
  <c r="F97" i="4"/>
  <c r="G64" i="4"/>
  <c r="G31" i="4"/>
  <c r="F57" i="2" l="1"/>
  <c r="F56" i="2"/>
  <c r="F99" i="4"/>
  <c r="F47" i="5"/>
  <c r="G65" i="4"/>
  <c r="G85" i="4" s="1"/>
  <c r="G32" i="4"/>
  <c r="F62" i="2" l="1"/>
  <c r="N62" i="2" s="1"/>
  <c r="F73" i="2"/>
  <c r="F101" i="4"/>
  <c r="F102" i="4"/>
  <c r="F48" i="5"/>
  <c r="F49" i="5" s="1"/>
  <c r="F54" i="5" s="1"/>
  <c r="F55" i="5" s="1"/>
  <c r="F59" i="5" s="1"/>
  <c r="F60" i="5" s="1"/>
  <c r="F50" i="5"/>
  <c r="F51" i="5" s="1"/>
  <c r="G36" i="4"/>
  <c r="M62" i="2" l="1"/>
  <c r="F58" i="2" s="1"/>
  <c r="F59" i="2"/>
  <c r="F75" i="2"/>
  <c r="F74" i="2"/>
  <c r="G72" i="4"/>
  <c r="G17" i="5" s="1"/>
  <c r="G71" i="4"/>
  <c r="G84" i="4" s="1"/>
  <c r="F76" i="2" l="1"/>
  <c r="G56" i="5"/>
  <c r="G29" i="5"/>
  <c r="G19" i="5"/>
  <c r="G104" i="4"/>
  <c r="G109" i="4"/>
  <c r="G31" i="5" l="1"/>
  <c r="G34" i="5" s="1"/>
  <c r="G21" i="5" s="1"/>
  <c r="G30" i="5"/>
  <c r="G38" i="5"/>
  <c r="F78" i="2"/>
  <c r="G33" i="5" l="1"/>
  <c r="G35" i="5" s="1"/>
  <c r="H32" i="5" s="1"/>
  <c r="G20" i="5"/>
  <c r="G23" i="5" s="1"/>
  <c r="G22" i="5" s="1"/>
  <c r="F79" i="2"/>
  <c r="G24" i="5" l="1"/>
  <c r="G78" i="4"/>
  <c r="G81" i="4" s="1"/>
  <c r="G39" i="5"/>
  <c r="F81" i="2"/>
  <c r="F83" i="2" s="1"/>
  <c r="F84" i="2" s="1"/>
  <c r="F90" i="2" s="1"/>
  <c r="N90" i="2" s="1"/>
  <c r="F80" i="2"/>
  <c r="F82" i="2" s="1"/>
  <c r="G83" i="4" l="1"/>
  <c r="G105" i="4"/>
  <c r="G108" i="4" s="1"/>
  <c r="G41" i="5"/>
  <c r="G40" i="5"/>
  <c r="F88" i="2"/>
  <c r="M90" i="2"/>
  <c r="F87" i="2" s="1"/>
  <c r="F86" i="2"/>
  <c r="F85" i="2"/>
  <c r="G86" i="4" l="1"/>
  <c r="G106" i="4"/>
  <c r="G57" i="5"/>
  <c r="G58" i="5" s="1"/>
  <c r="G87" i="4" l="1"/>
  <c r="G58" i="4" l="1"/>
  <c r="G59" i="4" l="1"/>
  <c r="G88" i="4"/>
  <c r="H57" i="4" l="1"/>
  <c r="G60" i="4"/>
  <c r="G33" i="4"/>
  <c r="H61" i="4" l="1"/>
  <c r="G89" i="4"/>
  <c r="G90" i="4" s="1"/>
  <c r="G93" i="4" s="1"/>
  <c r="G66" i="4"/>
  <c r="G34" i="4"/>
  <c r="G68" i="4" l="1"/>
  <c r="G67" i="4"/>
  <c r="H29" i="4"/>
  <c r="H92" i="4"/>
  <c r="G54" i="2"/>
  <c r="G69" i="4"/>
  <c r="G53" i="2" l="1"/>
  <c r="G55" i="2" s="1"/>
  <c r="G70" i="4"/>
  <c r="G98" i="4"/>
  <c r="G97" i="4"/>
  <c r="H64" i="4"/>
  <c r="H31" i="4"/>
  <c r="G57" i="2" l="1"/>
  <c r="G56" i="2"/>
  <c r="G99" i="4"/>
  <c r="G47" i="5"/>
  <c r="H65" i="4"/>
  <c r="H85" i="4" s="1"/>
  <c r="H32" i="4"/>
  <c r="G63" i="2" l="1"/>
  <c r="N63" i="2" s="1"/>
  <c r="G73" i="2"/>
  <c r="G101" i="4"/>
  <c r="G102" i="4"/>
  <c r="G48" i="5"/>
  <c r="G49" i="5" s="1"/>
  <c r="G54" i="5" s="1"/>
  <c r="G55" i="5" s="1"/>
  <c r="G59" i="5" s="1"/>
  <c r="G60" i="5" s="1"/>
  <c r="G50" i="5"/>
  <c r="G51" i="5" s="1"/>
  <c r="H36" i="4"/>
  <c r="M63" i="2" l="1"/>
  <c r="G58" i="2" s="1"/>
  <c r="G59" i="2"/>
  <c r="G74" i="2"/>
  <c r="G75" i="2"/>
  <c r="H72" i="4"/>
  <c r="H17" i="5" s="1"/>
  <c r="H71" i="4"/>
  <c r="H84" i="4" s="1"/>
  <c r="G76" i="2" l="1"/>
  <c r="H56" i="5"/>
  <c r="H29" i="5"/>
  <c r="H19" i="5"/>
  <c r="H104" i="4"/>
  <c r="H109" i="4"/>
  <c r="H31" i="5" l="1"/>
  <c r="H34" i="5" s="1"/>
  <c r="H21" i="5" s="1"/>
  <c r="H30" i="5"/>
  <c r="H38" i="5"/>
  <c r="G78" i="2"/>
  <c r="H33" i="5" l="1"/>
  <c r="H35" i="5" s="1"/>
  <c r="I32" i="5" s="1"/>
  <c r="H20" i="5"/>
  <c r="H23" i="5" s="1"/>
  <c r="H22" i="5" s="1"/>
  <c r="G79" i="2"/>
  <c r="G80" i="2" l="1"/>
  <c r="G82" i="2" s="1"/>
  <c r="G81" i="2"/>
  <c r="G83" i="2" s="1"/>
  <c r="G84" i="2" s="1"/>
  <c r="G91" i="2" s="1"/>
  <c r="N91" i="2" s="1"/>
  <c r="H24" i="5"/>
  <c r="H39" i="5"/>
  <c r="H78" i="4"/>
  <c r="H81" i="4" s="1"/>
  <c r="G86" i="2" l="1"/>
  <c r="G85" i="2"/>
  <c r="M91" i="2"/>
  <c r="G87" i="2" s="1"/>
  <c r="G88" i="2"/>
  <c r="H41" i="5"/>
  <c r="H40" i="5"/>
  <c r="H83" i="4"/>
  <c r="H105" i="4"/>
  <c r="H108" i="4" s="1"/>
  <c r="H57" i="5" l="1"/>
  <c r="H58" i="5" s="1"/>
  <c r="H86" i="4"/>
  <c r="H106" i="4"/>
  <c r="H87" i="4" l="1"/>
  <c r="H58" i="4" l="1"/>
  <c r="H59" i="4" l="1"/>
  <c r="H88" i="4"/>
  <c r="I57" i="4" l="1"/>
  <c r="H60" i="4"/>
  <c r="H33" i="4"/>
  <c r="I61" i="4" l="1"/>
  <c r="H89" i="4"/>
  <c r="H90" i="4" s="1"/>
  <c r="H93" i="4" s="1"/>
  <c r="I92" i="4" s="1"/>
  <c r="H66" i="4"/>
  <c r="H34" i="4"/>
  <c r="H68" i="4" l="1"/>
  <c r="H67" i="4"/>
  <c r="I29" i="4"/>
  <c r="H69" i="4"/>
  <c r="H54" i="2"/>
  <c r="H53" i="2" l="1"/>
  <c r="H55" i="2" s="1"/>
  <c r="H70" i="4"/>
  <c r="H98" i="4"/>
  <c r="H97" i="4"/>
  <c r="I64" i="4"/>
  <c r="I31" i="4"/>
  <c r="I65" i="4" l="1"/>
  <c r="I85" i="4" s="1"/>
  <c r="I32" i="4"/>
  <c r="I36" i="4" s="1"/>
  <c r="H57" i="2"/>
  <c r="H56" i="2"/>
  <c r="H99" i="4"/>
  <c r="H47" i="5"/>
  <c r="I71" i="4" l="1"/>
  <c r="I84" i="4" s="1"/>
  <c r="I72" i="4"/>
  <c r="I17" i="5" s="1"/>
  <c r="H64" i="2"/>
  <c r="N64" i="2" s="1"/>
  <c r="H73" i="2"/>
  <c r="H101" i="4"/>
  <c r="H102" i="4"/>
  <c r="H48" i="5"/>
  <c r="H49" i="5"/>
  <c r="H54" i="5" s="1"/>
  <c r="H55" i="5" s="1"/>
  <c r="H50" i="5"/>
  <c r="H51" i="5" s="1"/>
  <c r="H59" i="5" l="1"/>
  <c r="H60" i="5" s="1"/>
  <c r="I109" i="4"/>
  <c r="I104" i="4"/>
  <c r="I56" i="5"/>
  <c r="I29" i="5"/>
  <c r="I19" i="5"/>
  <c r="M64" i="2"/>
  <c r="H58" i="2" s="1"/>
  <c r="H59" i="2"/>
  <c r="H74" i="2"/>
  <c r="H75" i="2"/>
  <c r="I31" i="5" l="1"/>
  <c r="I34" i="5" s="1"/>
  <c r="I21" i="5" s="1"/>
  <c r="I38" i="5"/>
  <c r="I30" i="5"/>
  <c r="I20" i="5" s="1"/>
  <c r="I23" i="5" s="1"/>
  <c r="I22" i="5" s="1"/>
  <c r="H76" i="2"/>
  <c r="H78" i="2" s="1"/>
  <c r="H79" i="2" s="1"/>
  <c r="I33" i="5"/>
  <c r="I35" i="5" s="1"/>
  <c r="J32" i="5" s="1"/>
  <c r="H80" i="2" l="1"/>
  <c r="H82" i="2" s="1"/>
  <c r="H81" i="2"/>
  <c r="H83" i="2" s="1"/>
  <c r="H84" i="2" s="1"/>
  <c r="H92" i="2" s="1"/>
  <c r="N92" i="2" s="1"/>
  <c r="I24" i="5"/>
  <c r="I39" i="5"/>
  <c r="I78" i="4"/>
  <c r="I81" i="4" s="1"/>
  <c r="H86" i="2" l="1"/>
  <c r="H85" i="2"/>
  <c r="H88" i="2"/>
  <c r="M92" i="2"/>
  <c r="H87" i="2" s="1"/>
  <c r="I41" i="5"/>
  <c r="I40" i="5"/>
  <c r="I83" i="4"/>
  <c r="I105" i="4"/>
  <c r="I108" i="4" s="1"/>
  <c r="I57" i="5" l="1"/>
  <c r="I58" i="5" s="1"/>
  <c r="I86" i="4"/>
  <c r="I106" i="4"/>
  <c r="I87" i="4" l="1"/>
  <c r="I58" i="4" l="1"/>
  <c r="I59" i="4" l="1"/>
  <c r="I88" i="4"/>
  <c r="J57" i="4" l="1"/>
  <c r="I60" i="4"/>
  <c r="I33" i="4"/>
  <c r="J61" i="4" l="1"/>
  <c r="I89" i="4"/>
  <c r="I90" i="4" s="1"/>
  <c r="I93" i="4" s="1"/>
  <c r="I54" i="2" s="1"/>
  <c r="I66" i="4"/>
  <c r="I34" i="4"/>
  <c r="J29" i="4" l="1"/>
  <c r="I68" i="4"/>
  <c r="I67" i="4"/>
  <c r="I69" i="4"/>
  <c r="J92" i="4"/>
  <c r="J64" i="4" l="1"/>
  <c r="J31" i="4"/>
  <c r="I53" i="2"/>
  <c r="I55" i="2" s="1"/>
  <c r="I70" i="4"/>
  <c r="I98" i="4"/>
  <c r="I97" i="4"/>
  <c r="J65" i="4" l="1"/>
  <c r="J85" i="4" s="1"/>
  <c r="J32" i="4"/>
  <c r="J36" i="4" s="1"/>
  <c r="I57" i="2"/>
  <c r="I56" i="2"/>
  <c r="I99" i="4"/>
  <c r="I47" i="5"/>
  <c r="J71" i="4" l="1"/>
  <c r="J84" i="4" s="1"/>
  <c r="J72" i="4"/>
  <c r="J17" i="5" s="1"/>
  <c r="I65" i="2"/>
  <c r="N65" i="2" s="1"/>
  <c r="I73" i="2"/>
  <c r="I101" i="4"/>
  <c r="I102" i="4"/>
  <c r="I48" i="5"/>
  <c r="I49" i="5" s="1"/>
  <c r="I54" i="5" s="1"/>
  <c r="I55" i="5" s="1"/>
  <c r="I50" i="5"/>
  <c r="I51" i="5" s="1"/>
  <c r="J29" i="5" l="1"/>
  <c r="J56" i="5"/>
  <c r="J19" i="5"/>
  <c r="J104" i="4"/>
  <c r="J109" i="4"/>
  <c r="J31" i="5"/>
  <c r="J34" i="5" s="1"/>
  <c r="J21" i="5" s="1"/>
  <c r="M65" i="2"/>
  <c r="I58" i="2" s="1"/>
  <c r="I59" i="2"/>
  <c r="I74" i="2"/>
  <c r="I75" i="2"/>
  <c r="I59" i="5"/>
  <c r="I60" i="5" s="1"/>
  <c r="J30" i="5" l="1"/>
  <c r="J38" i="5"/>
  <c r="I76" i="2"/>
  <c r="J33" i="5" l="1"/>
  <c r="J35" i="5" s="1"/>
  <c r="K32" i="5" s="1"/>
  <c r="J20" i="5"/>
  <c r="J23" i="5" s="1"/>
  <c r="J22" i="5" s="1"/>
  <c r="I78" i="2"/>
  <c r="J24" i="5" l="1"/>
  <c r="J39" i="5"/>
  <c r="J78" i="4"/>
  <c r="J81" i="4" s="1"/>
  <c r="J83" i="4" s="1"/>
  <c r="J105" i="4"/>
  <c r="J108" i="4" s="1"/>
  <c r="I79" i="2"/>
  <c r="J41" i="5" l="1"/>
  <c r="J57" i="5" s="1"/>
  <c r="J58" i="5" s="1"/>
  <c r="J40" i="5"/>
  <c r="J86" i="4"/>
  <c r="J106" i="4"/>
  <c r="I80" i="2"/>
  <c r="I82" i="2" s="1"/>
  <c r="I81" i="2"/>
  <c r="I83" i="2" s="1"/>
  <c r="I84" i="2" s="1"/>
  <c r="I93" i="2" s="1"/>
  <c r="N93" i="2" s="1"/>
  <c r="J87" i="4" l="1"/>
  <c r="I85" i="2"/>
  <c r="I86" i="2"/>
  <c r="M93" i="2"/>
  <c r="I87" i="2" s="1"/>
  <c r="I88" i="2"/>
  <c r="J58" i="4" l="1"/>
  <c r="J59" i="4" l="1"/>
  <c r="J88" i="4"/>
  <c r="K57" i="4" l="1"/>
  <c r="J60" i="4"/>
  <c r="J33" i="4"/>
  <c r="K61" i="4" l="1"/>
  <c r="J89" i="4"/>
  <c r="J90" i="4" s="1"/>
  <c r="J93" i="4" s="1"/>
  <c r="J66" i="4"/>
  <c r="J34" i="4"/>
  <c r="K29" i="4" l="1"/>
  <c r="J68" i="4"/>
  <c r="J67" i="4"/>
  <c r="J54" i="2"/>
  <c r="J69" i="4"/>
  <c r="K92" i="4"/>
  <c r="K64" i="4" l="1"/>
  <c r="K31" i="4"/>
  <c r="J53" i="2"/>
  <c r="J55" i="2" s="1"/>
  <c r="J70" i="4"/>
  <c r="J98" i="4"/>
  <c r="J97" i="4"/>
  <c r="J57" i="2" l="1"/>
  <c r="J56" i="2"/>
  <c r="J99" i="4"/>
  <c r="J47" i="5"/>
  <c r="K65" i="4"/>
  <c r="K85" i="4" s="1"/>
  <c r="K32" i="4"/>
  <c r="J66" i="2" l="1"/>
  <c r="N66" i="2" s="1"/>
  <c r="J73" i="2"/>
  <c r="J101" i="4"/>
  <c r="J102" i="4"/>
  <c r="J48" i="5"/>
  <c r="J49" i="5"/>
  <c r="J54" i="5" s="1"/>
  <c r="J55" i="5" s="1"/>
  <c r="J59" i="5" s="1"/>
  <c r="J60" i="5" s="1"/>
  <c r="J50" i="5"/>
  <c r="J51" i="5" s="1"/>
  <c r="K36" i="4"/>
  <c r="M66" i="2" l="1"/>
  <c r="J58" i="2" s="1"/>
  <c r="J59" i="2"/>
  <c r="J74" i="2"/>
  <c r="J75" i="2"/>
  <c r="K72" i="4"/>
  <c r="K17" i="5" s="1"/>
  <c r="K71" i="4"/>
  <c r="K84" i="4" s="1"/>
  <c r="J76" i="2" l="1"/>
  <c r="J78" i="2" s="1"/>
  <c r="K56" i="5"/>
  <c r="K29" i="5"/>
  <c r="K19" i="5"/>
  <c r="K104" i="4"/>
  <c r="K109" i="4"/>
  <c r="K31" i="5" l="1"/>
  <c r="K34" i="5" s="1"/>
  <c r="K21" i="5" s="1"/>
  <c r="K30" i="5"/>
  <c r="K38" i="5"/>
  <c r="J79" i="2"/>
  <c r="J81" i="2" s="1"/>
  <c r="K33" i="5" l="1"/>
  <c r="K35" i="5" s="1"/>
  <c r="L32" i="5" s="1"/>
  <c r="K20" i="5"/>
  <c r="K23" i="5" s="1"/>
  <c r="K22" i="5" s="1"/>
  <c r="J80" i="2"/>
  <c r="J82" i="2" s="1"/>
  <c r="J83" i="2"/>
  <c r="J84" i="2" s="1"/>
  <c r="J94" i="2" s="1"/>
  <c r="N94" i="2" s="1"/>
  <c r="J85" i="2" l="1"/>
  <c r="J86" i="2"/>
  <c r="M94" i="2"/>
  <c r="J87" i="2" s="1"/>
  <c r="J88" i="2"/>
  <c r="K24" i="5"/>
  <c r="K39" i="5"/>
  <c r="K78" i="4"/>
  <c r="K81" i="4" s="1"/>
  <c r="K41" i="5" l="1"/>
  <c r="K40" i="5"/>
  <c r="K83" i="4"/>
  <c r="K105" i="4"/>
  <c r="K108" i="4" s="1"/>
  <c r="K57" i="5" l="1"/>
  <c r="K58" i="5" s="1"/>
  <c r="K86" i="4"/>
  <c r="K106" i="4"/>
  <c r="K87" i="4" l="1"/>
  <c r="K58" i="4" l="1"/>
  <c r="K59" i="4" l="1"/>
  <c r="K88" i="4"/>
  <c r="L57" i="4" l="1"/>
  <c r="K60" i="4"/>
  <c r="K33" i="4"/>
  <c r="L61" i="4" l="1"/>
  <c r="K89" i="4"/>
  <c r="K90" i="4" s="1"/>
  <c r="K93" i="4" s="1"/>
  <c r="K66" i="4"/>
  <c r="K34" i="4"/>
  <c r="K68" i="4" l="1"/>
  <c r="K67" i="4"/>
  <c r="L29" i="4"/>
  <c r="K54" i="2"/>
  <c r="L92" i="4"/>
  <c r="K69" i="4"/>
  <c r="K53" i="2" l="1"/>
  <c r="K55" i="2" s="1"/>
  <c r="K70" i="4"/>
  <c r="K98" i="4"/>
  <c r="K97" i="4"/>
  <c r="L64" i="4"/>
  <c r="L31" i="4"/>
  <c r="K57" i="2" l="1"/>
  <c r="K56" i="2"/>
  <c r="K99" i="4"/>
  <c r="K47" i="5"/>
  <c r="L65" i="4"/>
  <c r="L85" i="4" s="1"/>
  <c r="L32" i="4"/>
  <c r="K67" i="2" l="1"/>
  <c r="N67" i="2" s="1"/>
  <c r="K73" i="2"/>
  <c r="K101" i="4"/>
  <c r="K102" i="4"/>
  <c r="K48" i="5"/>
  <c r="K49" i="5" s="1"/>
  <c r="K54" i="5" s="1"/>
  <c r="K55" i="5" s="1"/>
  <c r="K50" i="5"/>
  <c r="K51" i="5" s="1"/>
  <c r="L36" i="4"/>
  <c r="K59" i="5" l="1"/>
  <c r="K60" i="5" s="1"/>
  <c r="M67" i="2"/>
  <c r="K58" i="2" s="1"/>
  <c r="K59" i="2"/>
  <c r="K75" i="2"/>
  <c r="K74" i="2"/>
  <c r="L72" i="4"/>
  <c r="L17" i="5" s="1"/>
  <c r="L71" i="4"/>
  <c r="L84" i="4" s="1"/>
  <c r="K76" i="2" l="1"/>
  <c r="L56" i="5"/>
  <c r="L29" i="5"/>
  <c r="L19" i="5"/>
  <c r="L104" i="4"/>
  <c r="L109" i="4"/>
  <c r="L31" i="5" l="1"/>
  <c r="L34" i="5" s="1"/>
  <c r="L21" i="5" s="1"/>
  <c r="L30" i="5"/>
  <c r="L38" i="5"/>
  <c r="K78" i="2"/>
  <c r="L33" i="5" l="1"/>
  <c r="L35" i="5" s="1"/>
  <c r="E64" i="5" s="1"/>
  <c r="L20" i="5"/>
  <c r="L23" i="5" s="1"/>
  <c r="L22" i="5" s="1"/>
  <c r="K79" i="2"/>
  <c r="L24" i="5" l="1"/>
  <c r="L39" i="5"/>
  <c r="L78" i="4"/>
  <c r="L81" i="4" s="1"/>
  <c r="K80" i="2"/>
  <c r="K82" i="2" s="1"/>
  <c r="K81" i="2"/>
  <c r="K83" i="2" s="1"/>
  <c r="K84" i="2" s="1"/>
  <c r="K95" i="2" s="1"/>
  <c r="N95" i="2" s="1"/>
  <c r="L41" i="5" l="1"/>
  <c r="L40" i="5"/>
  <c r="E63" i="5"/>
  <c r="E62" i="5"/>
  <c r="L83" i="4"/>
  <c r="L105" i="4"/>
  <c r="L108" i="4" s="1"/>
  <c r="E14" i="6" s="1"/>
  <c r="F14" i="6" s="1"/>
  <c r="K86" i="2"/>
  <c r="K85" i="2"/>
  <c r="M95" i="2"/>
  <c r="K87" i="2" s="1"/>
  <c r="K88" i="2"/>
  <c r="L57" i="5" l="1"/>
  <c r="L58" i="5" s="1"/>
  <c r="L86" i="4"/>
  <c r="L106" i="4"/>
  <c r="L87" i="4" l="1"/>
  <c r="L58" i="4" l="1"/>
  <c r="L59" i="4" l="1"/>
  <c r="L60" i="4" s="1"/>
  <c r="L88" i="4"/>
  <c r="L33" i="4" l="1"/>
  <c r="L89" i="4" l="1"/>
  <c r="L90" i="4" s="1"/>
  <c r="L93" i="4" s="1"/>
  <c r="L66" i="4"/>
  <c r="L34" i="4"/>
  <c r="E10" i="6"/>
  <c r="F10" i="6" s="1"/>
  <c r="E11" i="6" l="1"/>
  <c r="F11" i="6" s="1"/>
  <c r="L67" i="4"/>
  <c r="L68" i="4"/>
  <c r="L69" i="4"/>
  <c r="L54" i="2"/>
  <c r="L98" i="4" l="1"/>
  <c r="L97" i="4"/>
  <c r="L53" i="2"/>
  <c r="L55" i="2" s="1"/>
  <c r="L70" i="4"/>
  <c r="L57" i="2" l="1"/>
  <c r="L56" i="2"/>
  <c r="J103" i="2"/>
  <c r="F103" i="2" s="1"/>
  <c r="I104" i="2"/>
  <c r="E104" i="2" s="1"/>
  <c r="J101" i="2"/>
  <c r="F101" i="2" s="1"/>
  <c r="I103" i="2"/>
  <c r="E103" i="2" s="1"/>
  <c r="K102" i="2"/>
  <c r="G102" i="2" s="1"/>
  <c r="J102" i="2"/>
  <c r="F102" i="2" s="1"/>
  <c r="K108" i="2"/>
  <c r="G108" i="2" s="1"/>
  <c r="K103" i="2"/>
  <c r="G103" i="2" s="1"/>
  <c r="I109" i="2"/>
  <c r="E109" i="2" s="1"/>
  <c r="I101" i="2"/>
  <c r="E101" i="2" s="1"/>
  <c r="K104" i="2"/>
  <c r="G104" i="2" s="1"/>
  <c r="K107" i="2"/>
  <c r="G107" i="2" s="1"/>
  <c r="I108" i="2"/>
  <c r="E108" i="2" s="1"/>
  <c r="J108" i="2"/>
  <c r="F108" i="2" s="1"/>
  <c r="I107" i="2"/>
  <c r="E107" i="2" s="1"/>
  <c r="J109" i="2"/>
  <c r="F109" i="2" s="1"/>
  <c r="K101" i="2"/>
  <c r="G101" i="2" s="1"/>
  <c r="J107" i="2"/>
  <c r="F107" i="2" s="1"/>
  <c r="K109" i="2"/>
  <c r="G109" i="2" s="1"/>
  <c r="I102" i="2"/>
  <c r="E102" i="2" s="1"/>
  <c r="J104" i="2"/>
  <c r="F104" i="2" s="1"/>
  <c r="L99" i="4"/>
  <c r="L47" i="5"/>
  <c r="L20" i="2" l="1"/>
  <c r="L68" i="2"/>
  <c r="L73" i="2"/>
  <c r="L101" i="4"/>
  <c r="L102" i="4"/>
  <c r="E13" i="6" s="1"/>
  <c r="F13" i="6" s="1"/>
  <c r="L48" i="5"/>
  <c r="L49" i="5"/>
  <c r="L54" i="5" s="1"/>
  <c r="L55" i="5" s="1"/>
  <c r="L59" i="5" s="1"/>
  <c r="L60" i="5" s="1"/>
  <c r="L50" i="5"/>
  <c r="L51" i="5" s="1"/>
  <c r="N68" i="2" l="1"/>
  <c r="L69" i="2"/>
  <c r="L74" i="2"/>
  <c r="L75" i="2"/>
  <c r="M68" i="2" l="1"/>
  <c r="L59" i="2"/>
  <c r="N69" i="2"/>
  <c r="L17" i="2" s="1"/>
  <c r="L76" i="2"/>
  <c r="M69" i="2" l="1"/>
  <c r="K17" i="2" s="1"/>
  <c r="L58" i="2"/>
  <c r="L78" i="2"/>
  <c r="L79" i="2" l="1"/>
  <c r="L81" i="2" s="1"/>
  <c r="L80" i="2" l="1"/>
  <c r="L82" i="2" s="1"/>
  <c r="L83" i="2"/>
  <c r="L84" i="2" s="1"/>
  <c r="E15" i="6" l="1"/>
  <c r="F15" i="6" s="1"/>
  <c r="L85" i="2"/>
  <c r="K21" i="2" s="1"/>
  <c r="L86" i="2"/>
  <c r="L21" i="2" s="1"/>
  <c r="L96" i="2"/>
  <c r="K20" i="2"/>
  <c r="N96" i="2" l="1"/>
  <c r="L97" i="2"/>
  <c r="M96" i="2" l="1"/>
  <c r="L88" i="2"/>
  <c r="N97" i="2"/>
  <c r="L19" i="2" s="1"/>
  <c r="M97" i="2" l="1"/>
  <c r="L18" i="2" s="1"/>
  <c r="L87" i="2"/>
</calcChain>
</file>

<file path=xl/sharedStrings.xml><?xml version="1.0" encoding="utf-8"?>
<sst xmlns="http://schemas.openxmlformats.org/spreadsheetml/2006/main" count="483" uniqueCount="366">
  <si>
    <t>Project Galicia v3 — Inditex (ITX.MC)</t>
  </si>
  <si>
    <t>Strictly Private &amp; Confidential</t>
  </si>
  <si>
    <t xml:space="preserve">&gt; </t>
  </si>
  <si>
    <t>Debt &amp; Covenants — 100% Inditex LBO Debt Schedule (2025A–2032E), RCF Negative-NOF Backstop, WALL, SFA Covenants &amp; DSCR</t>
  </si>
  <si>
    <t>&gt;</t>
  </si>
  <si>
    <t>1. Debt Tranche Pricing (Euribor + Spread), Sizing on 100% EBITDA, Tenor &amp; WALL</t>
  </si>
  <si>
    <t>Tranche / Facility (BidCo — 100% Consolidated Group)</t>
  </si>
  <si>
    <t>All-In Rate</t>
  </si>
  <si>
    <t>xEBITDA</t>
  </si>
  <si>
    <t>Spread / Fixed</t>
  </si>
  <si>
    <t>PIK (0=Cash,1=PIK)</t>
  </si>
  <si>
    <t>Tenor (Yrs)</t>
  </si>
  <si>
    <t>Drawn (€m)</t>
  </si>
  <si>
    <t>WALL (Yrs)</t>
  </si>
  <si>
    <t>Blended Initial Cost of Debt (E7) / Reference Euribor Swap (F7)</t>
  </si>
  <si>
    <t>1A. Senior Term Loan A (TLA — 7y Amortising Bank Debt)</t>
  </si>
  <si>
    <t>1B. Senior Term Loan B (TLB — 7y Institutional Bullet)</t>
  </si>
  <si>
    <t>2. Subordinated / Mezzanine Debt (Bullet; H10: 0=Cash, 1=PIK)</t>
  </si>
  <si>
    <t>3. Seller Vendor Loan (Sandra Note; H11: 0=Cash, 1=PIK)</t>
  </si>
  <si>
    <t>TLB mandatory annual amortisation (% — 0.0% = Bullet)</t>
  </si>
  <si>
    <t>TLB optional cash sweep (% — 0.0% = Hold to maturity)</t>
  </si>
  <si>
    <t>4. RCF Committed Limit (€m — Seasonal Negative-NOF Backstop)</t>
  </si>
  <si>
    <t>RCF Drawn Rate (E15) &amp; Undrawn Commitment Fee % p.a. (G15)</t>
  </si>
  <si>
    <t>SFA Net Leverage Covenant Headroom % (E16) &amp; Min DSCR (G16)</t>
  </si>
  <si>
    <t>Debt Sched</t>
  </si>
  <si>
    <t>31-Jan</t>
  </si>
  <si>
    <t>€m</t>
  </si>
  <si>
    <t>100% Consolidated Group Line Item</t>
  </si>
  <si>
    <t>1A. Senior Term Loan A (TLA — 7y Amortising Bank Tranche)</t>
  </si>
  <si>
    <t>BoP TLA</t>
  </si>
  <si>
    <t>Initial draw at closing</t>
  </si>
  <si>
    <t>Scheduled repayment</t>
  </si>
  <si>
    <t>EoP TLA</t>
  </si>
  <si>
    <t>TLA scheduled amortisation %</t>
  </si>
  <si>
    <t>TLA cash interest (on Average Balance)</t>
  </si>
  <si>
    <t>BoP TLB</t>
  </si>
  <si>
    <t>Mandatory amortisation (% in E12)</t>
  </si>
  <si>
    <t>TLB balance before optional sweep</t>
  </si>
  <si>
    <t>Optional cash sweep (% in E13 — 85.0% Active)</t>
  </si>
  <si>
    <t>EoP TLB</t>
  </si>
  <si>
    <t>TLB mandatory amortisation %</t>
  </si>
  <si>
    <t>TLB cash interest (on Average Balance)</t>
  </si>
  <si>
    <t>2. Subordinated / Mezzanine Debt (Bullet — Cash or PIK Switch in H10)</t>
  </si>
  <si>
    <t>BoP Subordinated debt</t>
  </si>
  <si>
    <t>PIK interest capitalised (if H10 = 1)</t>
  </si>
  <si>
    <t>Scheduled repayment (Bullet at maturity)</t>
  </si>
  <si>
    <t>EoP Subordinated debt</t>
  </si>
  <si>
    <t>Subordinated cash interest (if H10 = 0)</t>
  </si>
  <si>
    <t>Subordinated total P&amp;L interest (for Art. 16 LIS Tax Model)</t>
  </si>
  <si>
    <t>3. Seller Vendor Loan (Sandra Deferred Note — Cash or PIK Switch in H11)</t>
  </si>
  <si>
    <t>BoP Vendor Loan</t>
  </si>
  <si>
    <t>PIK interest capitalised (if H11 = 1)</t>
  </si>
  <si>
    <t>Scheduled repayment (Bullet at exit)</t>
  </si>
  <si>
    <t>EoP Vendor Loan</t>
  </si>
  <si>
    <t>Vendor Loan cash interest (if H11 = 0)</t>
  </si>
  <si>
    <t>Vendor Loan total P&amp;L interest (for Art. 16 LIS Tax Model)</t>
  </si>
  <si>
    <t>4. Revolving Credit Facility (RCF — Seasonal Negative-NOF Backstop)</t>
  </si>
  <si>
    <t>BoP RCF drawn</t>
  </si>
  <si>
    <t>RCF draw / (repayment)</t>
  </si>
  <si>
    <t>EoP RCF drawn</t>
  </si>
  <si>
    <t>Undrawn RCF available (Liquidity buffer for Negative NOF swings)</t>
  </si>
  <si>
    <t>Total RCF drawn interest &amp; undrawn commitment fee (% in G15)</t>
  </si>
  <si>
    <t>Total LBO Debt Summary (100% Consolidated Group)</t>
  </si>
  <si>
    <t>BoP Total Gross Debt</t>
  </si>
  <si>
    <t>Mandatory Scheduled Principal Repayment (TLA + TLB)</t>
  </si>
  <si>
    <t>Optional TLB Cash Sweep &amp; RCF Net Change</t>
  </si>
  <si>
    <t>EoP Senior Gross Debt (TLA + TLB + RCF)</t>
  </si>
  <si>
    <t>EoP Total Gross Financial Debt (incl. Sub &amp; Vendor Loan)</t>
  </si>
  <si>
    <t>Less: EoP 100% Inditex Cash Balance</t>
  </si>
  <si>
    <t>EoP Total Net Financial Debt (100% Consolidated Group)</t>
  </si>
  <si>
    <t>Total Cash Interest &amp; Commitment Fees Paid (CF Outflow)</t>
  </si>
  <si>
    <t>Total P&amp;L Financial Expense (Cash + PIK — to Tax &amp; WACC)</t>
  </si>
  <si>
    <t>Cash Flow</t>
  </si>
  <si>
    <t>100% Inditex Pre-IFRS 16 Cash EBITDA</t>
  </si>
  <si>
    <t>Cash Corporate Income Tax Paid (from Tax &amp; WACC — Art. 16 LIS)</t>
  </si>
  <si>
    <t>Cash Flow from Working Capital (-ΔNOF — 100% Inditex)</t>
  </si>
  <si>
    <t>Maintenance Capex (100% Inditex)</t>
  </si>
  <si>
    <t>CFADS excl. Expansion Capex (Bank DSCR Numerator)</t>
  </si>
  <si>
    <t>Expansion Capex (US Flagships &amp; Logistics — 100% Organic)</t>
  </si>
  <si>
    <t>Cash Flow Available for Debt Service (100% Consolidated CFADS)</t>
  </si>
  <si>
    <t>Cash Interest &amp; RCF Commitment Fees Paid</t>
  </si>
  <si>
    <t>Mandatory Scheduled Debt Amortisation (TLA + TLB)</t>
  </si>
  <si>
    <t>Free Cash Flow to Equity after Mandatory Debt Service</t>
  </si>
  <si>
    <t>Excess Cash Available above €1,000m Minimum Operational Cash</t>
  </si>
  <si>
    <t>RCF Draw / (Repayment)</t>
  </si>
  <si>
    <t>Optional TLB Cash Sweep (85.0% of Excess Cash)</t>
  </si>
  <si>
    <t>Net Change in Cash Balance</t>
  </si>
  <si>
    <t>BoP 100% Inditex Cash Balance</t>
  </si>
  <si>
    <t>EoP 100% Inditex Cash Balance (Retained on Balance Sheet)</t>
  </si>
  <si>
    <t>4. Financial Covenants Monitoring (SFA Net Leverage Step-Downs, Headroom &amp; DSCR — 2025A–2032E)</t>
  </si>
  <si>
    <t>Senior Net Debt / 100% Pre-IFRS 16 EBITDA (x)</t>
  </si>
  <si>
    <t>Total Bank &amp; Sub Net Debt (excl. Vendor Loan) / EBITDA (x)</t>
  </si>
  <si>
    <t>Total Net Debt (incl. Vendor Loan) / 100% EBITDA (x)</t>
  </si>
  <si>
    <t>SFA Max Net Leverage Covenant (25% Entry Headroom + Step-Downs)</t>
  </si>
  <si>
    <t>Net Leverage Covenant Cushion (Max Covenant - Actual)</t>
  </si>
  <si>
    <t>Net Leverage Covenant Compliance Check</t>
  </si>
  <si>
    <t>Total Debt Service (Cash Interest + Mandatory TLA/TLB Principal)</t>
  </si>
  <si>
    <t>DSCR (CFADS excl. Expansion Capex / Debt Service — Project Atlantic)</t>
  </si>
  <si>
    <t>DSCR (Total CFADS after US Expansion Capex / Debt Service)</t>
  </si>
  <si>
    <t>Minimum DSCR Covenant Threshold (G16)</t>
  </si>
  <si>
    <t>DSCR Covenant Compliance Check</t>
  </si>
  <si>
    <t>Cash Interest Coverage Ratio (100% EBITDA / Cash Interest)</t>
  </si>
  <si>
    <t>Institutional Multi-Sheet LBO Model — 100% Take-Private + Amancio Ortega Rollover (2025A–2032E)</t>
  </si>
  <si>
    <t>Tab</t>
  </si>
  <si>
    <t>Worksheet Name</t>
  </si>
  <si>
    <t>Key Legal, Financial &amp; Tax Features + Interactive Switches (Blue Font / Soft Yellow Fill)</t>
  </si>
  <si>
    <t>LBO Summary</t>
  </si>
  <si>
    <t>100% Take-Private Executive Dashboard: Amancio Ortega rolls over 25.0% (F14) into TopCo under the tax-neutral FEAC regime (Art. 87 LIS), while BidCo acquires 75.0% via a Take-Private OPA at a 12.0% premium (€62.07/sh). Includes €1,000m Minimum Operational Cash Floor (F18), TopCo Equity split (55.8% Sponsor PE / 44.2% Amancio), 4-Tier Institutional GP/LP Equity Waterfall (85% Passive LPs / 15% Lead GP, 8% Hurdle, 100% Catch-Up &amp; 20% Carried Interest), 7-Year Exit Matrix (2026E–2032E), and Dual Sensitivity Tables.</t>
  </si>
  <si>
    <t>Active Case</t>
  </si>
  <si>
    <t>100% Inditex Consolidated Operating Model (2022A–2032E): Because BidCo owns 100.0% of Inditex post-squeeze-out, there is zero minority leakage. Includes Scenario Selector (F8: 1=Base, 2=Bull, 3=Bear), P&amp;L with Pre-IFRS 16 Cash EBITDA Bridge (€9,433m in 2025A), Structural Negative Working Capital (NOF), and Capex split into Maintenance Capex (3.5% rev) vs. US &amp; Logistics Expansion Capex (1.7% rev, funded 100% organically).</t>
  </si>
  <si>
    <t>Debt &amp; Covenants</t>
  </si>
  <si>
    <t>Multi-Tranche Debt &amp; Covenant Schedule (2025A–2032E, 8.13x 100% EBITDA = €76,671m): Reference Euribor Swap (F7 = 3.354%) + Spread, Senior TLA (2.0x, 7y amortising), Senior TLB (3.5x, 7y bullet with 85.0% Optional Cash Sweep in E13), Subordinated Debt (1.5x PIK in H10), Sandra Ortega Vendor Loan (1.13x PIK in H11), €1,000m RCF as Seasonal Negative-NOF Backstop (E14), SFA Net Leverage Covenant, and Bank DSCR.</t>
  </si>
  <si>
    <t>Tax &amp; WACC</t>
  </si>
  <si>
    <t>100% Fiscal Consolidation (Art. 58, 16.5 &amp; 16.1 LIS) &amp; Dynamic WACC (2025A–2032E): Tests the Spanish Anti-LBO Debt Cap (Art. 16.5 LIS: Acquisition Debt is 28.6% of total purchase value, well below the 70% statutory limit) and applies the 30% Operating EBITDA interest cap (Art. 16.1 LIS) with 5-year carryforwards and 7-year upfront fee amortization. Tracks Dynamic Levered Beta (Beta_L), Cost of Equity (Ke), Effective Tax Shield Rate (t_eff), and Dynamic WACC from 2025A to 2032E.</t>
  </si>
  <si>
    <t>Checks</t>
  </si>
  <si>
    <t>Automated Legal, Financial &amp; Tax Audit Panel: 11 real-time cross-sheet integrity checks verifying Sources &amp; Uses balance, TopCo 100% equity sum, Art. 58 LIS (&gt;=75%) consolidation, Art. 16.5 LIS (&lt;70%) anti-LBO debt cap, TLA 100% amortisation, €1,000m Minimum Cash floor, Non-negative debt balances, D&amp;A reconciliation, SFA Leverage Covenant, DSCR compliance, and GP+LP Waterfall reconciliation.</t>
  </si>
  <si>
    <t>LBO Summary — 100% Take-Private (OPA Exclusión) with Amancio Ortega Rollover to TopCo (Exits 2026E–2032E)</t>
  </si>
  <si>
    <t>1. Transaction Structure: 100% Take-Private via Free Float + Sandra Buyout &amp; Amancio Rollover</t>
  </si>
  <si>
    <t>Deal Valuation &amp; Ownership Perimeter (100% Inditex)</t>
  </si>
  <si>
    <t>Value / Input</t>
  </si>
  <si>
    <t>Multiples, Fees &amp; Headline Returns</t>
  </si>
  <si>
    <t>100% Inditex FY25A Pre-IFRS 16 Cash EBITDA (€m)</t>
  </si>
  <si>
    <t>Implied 100% Offer Enterprise Value (EV, €m)</t>
  </si>
  <si>
    <t>100% Inditex FY25A Reported Post-IFRS 16 EBITDA (€m)</t>
  </si>
  <si>
    <t>Implied Entry EV / Pre-IFRS 16 Cash EBITDA</t>
  </si>
  <si>
    <t>Current undisturbed share price (€/sh)</t>
  </si>
  <si>
    <t>Implied Entry EV / Reported Post-IFRS 16 EBITDA</t>
  </si>
  <si>
    <t>Take-Private OPA Offer Premium (%)</t>
  </si>
  <si>
    <t>Selected Exit Year (2026 to 2032)</t>
  </si>
  <si>
    <t>OPA Offer Price per share (€/sh)</t>
  </si>
  <si>
    <t>Total diluted shares outstanding (m)</t>
  </si>
  <si>
    <t>M&amp;A / OPA Advisory Entry Fees (% of Cash Takeover)</t>
  </si>
  <si>
    <t>Implied 100% Inditex Offer Equity Value (€m)</t>
  </si>
  <si>
    <t>Exit Transaction / Re-IPO Underwriting Fees (% EV)</t>
  </si>
  <si>
    <t>Amancio Ortega Rollover Stake to TopCo (%) [Pontegadea]</t>
  </si>
  <si>
    <t>Upfront Debt Fee Tax Amortization Horizon (years)</t>
  </si>
  <si>
    <t>Cash Takeover Stake (%) [35.65% Free Float + 5.05% Sandra]</t>
  </si>
  <si>
    <t>Active Operating Scenario</t>
  </si>
  <si>
    <t>Amancio Ortega Rollover Equity Value in TopCo (€m)</t>
  </si>
  <si>
    <t>Art. 16.5 LIS Debt / Total Equity Value (&lt; 70% Cap)</t>
  </si>
  <si>
    <t>Cash Takeover Purchase Price (Free Float + Sandra, €m)</t>
  </si>
  <si>
    <t>Gross Sponsor Pool IRR (K17) &amp; MOIC (L17)</t>
  </si>
  <si>
    <t>Minimum operational cash retained on 100% BS (€m)</t>
  </si>
  <si>
    <t>Lead GP Net IRR (w/ 20% Carry) @ Selected Exit</t>
  </si>
  <si>
    <t>Existing statutory net cash on 100% BS (€m)</t>
  </si>
  <si>
    <t>Lead GP Net MOIC (w/ 20% Carry) @ Selected Exit</t>
  </si>
  <si>
    <t>100% Inditex Excess BS Cash Deployed at Close (€m)</t>
  </si>
  <si>
    <t>Net Profit (€m): Lead GP (K20) / Gross Pool (L20)</t>
  </si>
  <si>
    <t>Passive LPs Net IRR (K21) &amp; MOIC (L21) @ Exit</t>
  </si>
  <si>
    <t>2. Debt Package (Sized on 100% EBITDA), Per-Tranche Upfront Fees, Sources &amp; Uses &amp; TopCo Equity</t>
  </si>
  <si>
    <t>LBO Debt Tranche / Facility (BidCo — 100% Inditex EBITDA)</t>
  </si>
  <si>
    <t>Committed (€m)</t>
  </si>
  <si>
    <t>xEBITDA (100%)</t>
  </si>
  <si>
    <t>Upfront Fee %</t>
  </si>
  <si>
    <t>Upfront Fee (€m)</t>
  </si>
  <si>
    <t>2. Subordinated / Mezzanine Debt (7.5y Bullet)</t>
  </si>
  <si>
    <t>3. Seller Vendor Loan (Sandra Ortega Deferred Note)</t>
  </si>
  <si>
    <t>4. Revolving Credit Facility (RCF — Negative NOF Line)</t>
  </si>
  <si>
    <t>Total LBO Debt Package &amp; Upfront Structuring Fees</t>
  </si>
  <si>
    <t>Sources of Funds (100% Take-Private)</t>
  </si>
  <si>
    <t>%</t>
  </si>
  <si>
    <t>Uses of Funds (100% Take-Private)</t>
  </si>
  <si>
    <t>1A. Senior Term Loan A (TLA)</t>
  </si>
  <si>
    <t>Cash OPA for Free Float + Partial Family Cash-Out (75.0%)</t>
  </si>
  <si>
    <t>1B. Senior Term Loan B (TLB)</t>
  </si>
  <si>
    <t>Amancio Ortega Rollover Shares Contributed (25.0%)</t>
  </si>
  <si>
    <t>2. Subordinated / Mezzanine Debt</t>
  </si>
  <si>
    <t>Upfront Debt Structuring Fees (TLA/TLB/Sub/RCF)</t>
  </si>
  <si>
    <t>3. Seller Vendor Loan (Sandra Deferred Note)</t>
  </si>
  <si>
    <t>M&amp;A, Legal &amp; OPA Advisory Costs (% Cash Takeover)</t>
  </si>
  <si>
    <t>100% Inditex Excess BS Cash Deployed at Close</t>
  </si>
  <si>
    <t>Minimum Operational Cash Retained on BS (€1,000m)</t>
  </si>
  <si>
    <t>Amancio Ortega Equity Rollover into TopCo</t>
  </si>
  <si>
    <t>Sponsor Cash Equity Ticket (Plug)</t>
  </si>
  <si>
    <t>Total Sources of Funds</t>
  </si>
  <si>
    <t>Total Uses of Funds</t>
  </si>
  <si>
    <t>TopCo Common Equity Ownership (100% Owner of BidCo / Inditex)</t>
  </si>
  <si>
    <t>Equity (€m)</t>
  </si>
  <si>
    <t>% TopCo</t>
  </si>
  <si>
    <t>GP / LP Equity Waterfall &amp; Promote Inputs</t>
  </si>
  <si>
    <t>Ticket (€m)</t>
  </si>
  <si>
    <t>Input / %</t>
  </si>
  <si>
    <t>Amancio Ortega (Pontegadea Rollover Equity in TopCo)</t>
  </si>
  <si>
    <t>Passive LP Co-Investors (SWFs / Pensions)</t>
  </si>
  <si>
    <t>Sponsor PE Consortium (Cash Equity Ticket in TopCo)</t>
  </si>
  <si>
    <t>Lead GP Sponsor Co-Investment Ticket</t>
  </si>
  <si>
    <t>Total TopCo Common Equity (100% Inditex Ownership)</t>
  </si>
  <si>
    <t>LP Compound Hurdle Rate (L45) &amp; Catch-Up (J45)</t>
  </si>
  <si>
    <t>Hurdle -&gt;</t>
  </si>
  <si>
    <t>GP Carried Interest / Promote (% above Hurdle)</t>
  </si>
  <si>
    <t>Carry -&gt;</t>
  </si>
  <si>
    <t>3. Multi-Year Exit Valuation (100% Inditex), Exit Fees &amp; Sponsor Returns Matrix (2026E–2032E)</t>
  </si>
  <si>
    <t>Exit Valuation &amp; Proceeds Breakdown (€m)</t>
  </si>
  <si>
    <t>100% Inditex Pre-IFRS 16 Cash EBITDA (€m)</t>
  </si>
  <si>
    <t>Exit Multiple (Pre-IFRS 16 EBITDAx)</t>
  </si>
  <si>
    <t>Gross Enterprise Value at Exit (100% Inditex EV)</t>
  </si>
  <si>
    <t>Less: Exit Transaction / Re-IPO Fees (% in L13)</t>
  </si>
  <si>
    <t>Less: EoP Gross LBO Debt (TLA + TLB + Sub + Vendor Loan + RCF)</t>
  </si>
  <si>
    <t>Plus: EoP 100% Inditex Cash Balance (incl. €1,000m Min Cash)</t>
  </si>
  <si>
    <t>Total TopCo Net Equity Value at Exit (100% Inditex)</t>
  </si>
  <si>
    <t>Sponsor PE Exit Equity Proceeds (% TopCo in F44)</t>
  </si>
  <si>
    <t>Amancio Ortega Rollover Exit Equity Proceeds (% TopCo in F43)</t>
  </si>
  <si>
    <t>Implied Sponsor IRR if Exited in Year (%)</t>
  </si>
  <si>
    <t>Implied Sponsor MOIC (Cash-on-Cash) if Exited in Year (x)</t>
  </si>
  <si>
    <t>Sponsor Cash Flow Schedule by Exit Year (2026E–2032E)</t>
  </si>
  <si>
    <t>Sponsor IRR</t>
  </si>
  <si>
    <t>Sponsor MOIC</t>
  </si>
  <si>
    <t>4. GP / LP Co-Investment Equity Waterfall (8% Compound Hurdle &amp; 20% Carried Interest, 2026E–2032E)</t>
  </si>
  <si>
    <t>European Deal-by-Deal Waterfall Breakdown (€m)</t>
  </si>
  <si>
    <t>Total Sponsor PE Gross Exit Proceeds (100% Consortium Pool)</t>
  </si>
  <si>
    <t>1. Lead GP Pro-Rata Co-Investment Share (15.0% of Pool)</t>
  </si>
  <si>
    <t>2. Passive LPs Gross Syndicate Pool Before Promote (85.0% of Pool)</t>
  </si>
  <si>
    <t>Tier 1 — Return of LP Contributed Capital (100% LP Principal)</t>
  </si>
  <si>
    <t>Memo: LP Compound Hurdle Target (8.0% p.a. Preferred Return)</t>
  </si>
  <si>
    <t>Tier 2 — LP Preferred Return Paid (8.0% p.a. Compound Hurdle)</t>
  </si>
  <si>
    <t>Tier 3 — GP Catch-Up (100% Catch-Up to 20.0% Promote)</t>
  </si>
  <si>
    <t>Tier 4A — Residual Excess Profit to Passive LPs (80.0% Split)</t>
  </si>
  <si>
    <t>Tier 4B — Residual Carried Interest to Lead GP (20.0% Promote)</t>
  </si>
  <si>
    <t>Passive LPs Net Exit Proceeds (Tier 1 + Tier 2 + Tier 4A)</t>
  </si>
  <si>
    <t>Total GP Carried Interest / Promote Earned (Tier 3 + Tier 4B)</t>
  </si>
  <si>
    <t>Lead GP Total Net Exit Proceeds (Co-Invest Pro-Rata + Carry)</t>
  </si>
  <si>
    <t>Implied Passive LPs Net IRR if Exited in Year (%)</t>
  </si>
  <si>
    <t>Implied Passive LPs Net MOIC (Cash-on-Cash) if Exited in Year (x)</t>
  </si>
  <si>
    <t>Implied Lead GP Net IRR (w/ 20% Carry) if Exited in Year (%)</t>
  </si>
  <si>
    <t>Implied Lead GP Net MOIC (w/ 20% Carry) if Exited in Year (x)</t>
  </si>
  <si>
    <t>Lead GP Net Cash Flow Schedule (Co-Invest + Carry, 2026E–2032E)</t>
  </si>
  <si>
    <t>Lead GP IRR</t>
  </si>
  <si>
    <t>Lead GP MOIC</t>
  </si>
  <si>
    <t>5. Sensitivity Analysis: Lead GP Net IRR/MOIC (LP Syndication vs. Exit Multiple) &amp; Deal Leverage Grid</t>
  </si>
  <si>
    <t>LP Syndication % \ Exit Multiple (Lead GP Net IRR)</t>
  </si>
  <si>
    <t>Offer Premium \ Total Debt xEBITDA (Gross Pool IRR)</t>
  </si>
  <si>
    <t>Active Case — 100% Inditex Consolidated Operating Model (2022A–2032E), Pre-IFRS 16 Bridge, Negative NOF &amp; Capex Split</t>
  </si>
  <si>
    <t>1. Operating Scenario Drivers &amp; Presets (100% Inditex Consolidated — Zero Minority Leakage)</t>
  </si>
  <si>
    <t>Drivers</t>
  </si>
  <si>
    <t>1</t>
  </si>
  <si>
    <t>2</t>
  </si>
  <si>
    <t>3</t>
  </si>
  <si>
    <t>Active:</t>
  </si>
  <si>
    <t>100% Inditex Consolidated Line Item</t>
  </si>
  <si>
    <t>Base</t>
  </si>
  <si>
    <t>Bull</t>
  </si>
  <si>
    <t>Bear</t>
  </si>
  <si>
    <t>Active Scenario Selector (1=Base, 2=Bull, 3=Bear)</t>
  </si>
  <si>
    <t>Select -&gt;</t>
  </si>
  <si>
    <t>Revenue growth (% YoY)</t>
  </si>
  <si>
    <t>Gross margin (% of revenues)</t>
  </si>
  <si>
    <t>OpEx growth (% YoY)</t>
  </si>
  <si>
    <t>Fixed lease cash outflow growth (%)</t>
  </si>
  <si>
    <t>Maintenance Capex (% of revenues)</t>
  </si>
  <si>
    <t>Expansion Capex: US Rollout &amp; Logistics (%)</t>
  </si>
  <si>
    <t>Inventory (% of revenues)</t>
  </si>
  <si>
    <t>Receivables (% of revenues)</t>
  </si>
  <si>
    <t>Payables (% of revenues, negative — NOF)</t>
  </si>
  <si>
    <t>P&amp;L</t>
  </si>
  <si>
    <t>CAGR</t>
  </si>
  <si>
    <t>22A-25A</t>
  </si>
  <si>
    <t>25A-32E</t>
  </si>
  <si>
    <t>Net Revenues (100% Inditex)</t>
  </si>
  <si>
    <t>COGS</t>
  </si>
  <si>
    <t>Gross Profit</t>
  </si>
  <si>
    <t>% Gross margin</t>
  </si>
  <si>
    <t>OpEx (Personnel, variable turnover rent &amp; SG&amp;A)</t>
  </si>
  <si>
    <t>Reported EBITDA (Post-IFRS 16 — 100% Inditex)</t>
  </si>
  <si>
    <t>% Reported EBITDA margin (Post-IFRS 16)</t>
  </si>
  <si>
    <t>Less: Fixed cash lease outflow (IFRS 16 Note 16 / CF Statement)</t>
  </si>
  <si>
    <t>Plus: Due Diligence Adjustments &amp; Normalizations</t>
  </si>
  <si>
    <t>Pre-IFRS 16 Normalized Cash EBITDA (100% Inditex — LBO Basis)</t>
  </si>
  <si>
    <t>% Pre-IFRS 16 Cash EBITDA margin</t>
  </si>
  <si>
    <t>D&amp;A (Owned PP&amp;E &amp; intangibles — 100% Inditex)</t>
  </si>
  <si>
    <t>Operating EBIT (Pre-IFRS 16 — 100% Inditex)</t>
  </si>
  <si>
    <t>NOF / WK</t>
  </si>
  <si>
    <t>Operating Working Capital (Structural Negative NOF — 100% Inditex)</t>
  </si>
  <si>
    <t>Inventory</t>
  </si>
  <si>
    <t>Trade &amp; other receivables</t>
  </si>
  <si>
    <t>Trade &amp; other payables (Supplier financing)</t>
  </si>
  <si>
    <t>Net Operating Working Capital (NOF EoP — 100% Inditex)</t>
  </si>
  <si>
    <t>NOF % of revenues (Negative = Supplier-funded float)</t>
  </si>
  <si>
    <t>Capex Split (Maintenance vs. US/Logistics Expansion) &amp; D&amp;A Schedule (100% Inditex)</t>
  </si>
  <si>
    <t>BoP Net Fixed Assets (Owned PP&amp;E + Intangibles)</t>
  </si>
  <si>
    <t>Total Capex additions (Maintenance + Expansion)</t>
  </si>
  <si>
    <t>Total D&amp;A (Owned PP&amp;E + Intangibles)</t>
  </si>
  <si>
    <t>EoP Net Fixed Assets</t>
  </si>
  <si>
    <t>1. Maintenance Capex (Store refurbishments &amp; IT upkeep — 100%)</t>
  </si>
  <si>
    <t>2. Expansion Capex (US Flagship Rollout &amp; Logistics Hubs — 100%)</t>
  </si>
  <si>
    <t>Total Capex (100% Inditex — Funded Organically)</t>
  </si>
  <si>
    <t>BoP existing net fixed assets</t>
  </si>
  <si>
    <t>D&amp;A of existing fixed assets</t>
  </si>
  <si>
    <t>EoP existing net fixed assets</t>
  </si>
  <si>
    <t>Asset lifetime (years)</t>
  </si>
  <si>
    <t>First period D&amp;A impact</t>
  </si>
  <si>
    <t>Vintage</t>
  </si>
  <si>
    <t>Capex (€m)</t>
  </si>
  <si>
    <t>Total new capex D&amp;A (100% Inditex)</t>
  </si>
  <si>
    <t>Tax &amp; WACC — 100% Fiscal Consolidation (Art. 58, 16.5 &amp; 16.1 LIS) &amp; Dynamic WACC Evolution (2025A–2032E)</t>
  </si>
  <si>
    <t>1. Spanish Corporate Tax Consolidation (Art. 58 LIS), Anti-LBO Test (Art. 16.5) &amp; 30% EBITDA Cap (Art. 16.1)</t>
  </si>
  <si>
    <t>Spanish Tax Consolidation &amp; WACC Parameters</t>
  </si>
  <si>
    <t>Spanish Statutory Corporate Tax Rate (CIT %)</t>
  </si>
  <si>
    <t>Risk-Free Rate — 10Y Spanish Bono (Rf %)</t>
  </si>
  <si>
    <t>Art. 16.1 LIS Interest Deductibility Cap (% EBITDA)</t>
  </si>
  <si>
    <t>Equity Market Risk Premium (ERP %)</t>
  </si>
  <si>
    <t>Art. 16.1 LIS Minimum Deductible Franchise (€m)</t>
  </si>
  <si>
    <t>Inditex Unlevered Asset Beta (Beta_U)</t>
  </si>
  <si>
    <t>Art. 16.5 LIS Max LBO Debt / Purchase Value (70%)</t>
  </si>
  <si>
    <t>Actual BidCo Acquisition Debt / Purchase Value</t>
  </si>
  <si>
    <t>Upfront Financing Fees Total (€m — Amortised)</t>
  </si>
  <si>
    <t>Amortization Period for Upfront Fees (Yrs)</t>
  </si>
  <si>
    <t>CIT Model</t>
  </si>
  <si>
    <t>100% Inditex D&amp;A (Owned PP&amp;E + Intangibles)</t>
  </si>
  <si>
    <t>100% Inditex Operating EBIT (Unlevered Tax Base)</t>
  </si>
  <si>
    <t>Gross BidCo LBO Financial Expenses (Cash + PIK Interest)</t>
  </si>
  <si>
    <t>Tax Amortization of Upfront Structuring Fees (Linear over 7y)</t>
  </si>
  <si>
    <t>Consolidated Accounting EBT before Art. 16.1 LIS Cap</t>
  </si>
  <si>
    <t>Plus: Non-Deductible Interest Added Back (&gt; 30% EBITDA Cap)</t>
  </si>
  <si>
    <t>Less: Prior-Year Non-Deducted Interest Recovered in Period</t>
  </si>
  <si>
    <t>Cash Corporate Income Tax Paid (CIT @ 25% on Consolidated Tax Base)</t>
  </si>
  <si>
    <t>Adjusted Consolidated Taxable Income (Base Imponible Fiscal)</t>
  </si>
  <si>
    <t>Consolidated Net Income (100% Group Post-CIT)</t>
  </si>
  <si>
    <t>Art. 16.1 LIS — 30% Operating EBITDA Cap &amp; Carryforward Schedule</t>
  </si>
  <si>
    <t>100% Fiscal Operating EBITDA (Pre-IFRS 16 Cash EBITDA)</t>
  </si>
  <si>
    <t>30% EBITDA Interest Deductibility Limit (MAX 30% EBITDA, €1m)</t>
  </si>
  <si>
    <t>Total Financial Expense Subject to Art. 16.1 LIS (Interest + Fee Amort.)</t>
  </si>
  <si>
    <t>Current-Year Non-Deductible Financial Expense (Excess over 30% Cap)</t>
  </si>
  <si>
    <t>Unused 30% EBITDA Headroom Generated in Year (5-Year Carryforward)</t>
  </si>
  <si>
    <t>BoP Non-Deducted Interest Carryforward Balance</t>
  </si>
  <si>
    <t>Plus: New Non-Deductible Interest in Year</t>
  </si>
  <si>
    <t>Less: Carryforward Interest Deducted Using Unused EBITDA Capacity</t>
  </si>
  <si>
    <t>EoP Non-Deducted Interest Carryforward Balance (Tax Asset)</t>
  </si>
  <si>
    <t>Unlevered Taxes (Hypothetical CIT if Debt = 0)</t>
  </si>
  <si>
    <t>Theoretical Maximum Tax Shield (25% × Total Interest + Fee Amort.)</t>
  </si>
  <si>
    <t>Actual Realized Cash Tax Shield (Unlevered CIT - Actual Levered CIT)</t>
  </si>
  <si>
    <t>Tax Shield Efficiency (% of Theoretical Shield Realized in Cash)</t>
  </si>
  <si>
    <t>Effective Tax Shield Rate on Financial Expenses (t_eff %)</t>
  </si>
  <si>
    <t>2. Dynamic WACC Evolution Due to De-Leveraging &amp; Art. 16.1 LIS Tax Shield (2025A–2032E)</t>
  </si>
  <si>
    <t>Implied 100% Inditex Enterprise Value (EV at Entry Multiple)</t>
  </si>
  <si>
    <t>100% Consolidated Net Financial Debt (EoP)</t>
  </si>
  <si>
    <t>Implied 100% TopCo Equity Value (E = EV - Net Debt)</t>
  </si>
  <si>
    <t>Net Debt / Equity Ratio (D / E)</t>
  </si>
  <si>
    <t>Debt Weight in Capital Structure (D / V)</t>
  </si>
  <si>
    <t>Equity Weight in Capital Structure (E / V)</t>
  </si>
  <si>
    <t>Unlevered Cost of Equity (Ku = Rf + Beta_U × ERP)</t>
  </si>
  <si>
    <t>Dynamic Levered Beta: Beta_L = Beta_U × [1 + (1 - t_eff) × (D/E)]</t>
  </si>
  <si>
    <t>Dynamic Cost of Levered Equity: Ke = Rf + Beta_L × ERP</t>
  </si>
  <si>
    <t>Pre-Tax Blended Cost of Debt (Kd Pre-Tax)</t>
  </si>
  <si>
    <t>Effective Tax Shield Rate (t_eff — Capped/Boosted by Art. 16.1 LIS)</t>
  </si>
  <si>
    <t>After-Tax Effective Cost of Debt: Kd × (1 - t_eff)</t>
  </si>
  <si>
    <t>Dynamic WACC (Modigliani-Miller / Hamada w/ Spanish Tax Cap)</t>
  </si>
  <si>
    <t>WACC Reduction vs. Unlevered Ku (Net Tax Shield Benefit)</t>
  </si>
  <si>
    <t>Cumulative Cash Tax Shield Realized (2026E–2032E, €m)</t>
  </si>
  <si>
    <t>Present Value of Realized Tax Shields Discounted @ Ku (APV Tax Shield, €m)</t>
  </si>
  <si>
    <t>Remaining Non-Deducted Interest Tax Asset at 2032E Exit (€m)</t>
  </si>
  <si>
    <t>Master Model Integrity, Legal Take-Private &amp; Spanish Tax Compliance Checks</t>
  </si>
  <si>
    <t>ID</t>
  </si>
  <si>
    <t>Audit Check Description</t>
  </si>
  <si>
    <t>Diff / Metric</t>
  </si>
  <si>
    <t>Status</t>
  </si>
  <si>
    <t>1. Sources &amp; Uses of Funds Balance Check</t>
  </si>
  <si>
    <t>2. TopCo Common Equity Ownership Sums to 100.0%</t>
  </si>
  <si>
    <t>3. Art. 58 LIS Fiscal Consolidation Threshold (&gt;= 75% = 100%)</t>
  </si>
  <si>
    <t>4. Art. 16.5 LIS Anti-LBO Debt Cap (Debt &lt; 70% Purchase Value)</t>
  </si>
  <si>
    <t>5. Senior TLA Scheduled Amortisation Sums to 100%</t>
  </si>
  <si>
    <t>6. Minimum Operational Cash Floor (€1,000m) Respected</t>
  </si>
  <si>
    <t>7. Non-Negative Debt Tranche Balances (All Years)</t>
  </si>
  <si>
    <t>8. P&amp;L D&amp;A Reconciled to Capex Vintage Schedule</t>
  </si>
  <si>
    <t>9. SFA Net Leverage Covenant Compliance (All Years)</t>
  </si>
  <si>
    <t>10. Bank DSCR Covenant Compliance (All Years)</t>
  </si>
  <si>
    <t>11. GP + LP Waterfall Proceeds Reconcile to 100% Sponsor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</si>
</sst>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_);\(#,##0.0\);&quot;- &quot;"/>
    <numFmt numFmtId="165" formatCode="#,##0.0%_);\(#,##0.0%\);&quot;- &quot;"/>
    <numFmt numFmtId="166" formatCode="#,##0.0&quot;x&quot;_);\(#,##0.0&quot;x&quot;\);&quot;- &quot;"/>
    <numFmt numFmtId="167" formatCode="#,##0.00_);\(#,##0.00\);&quot;- &quot;"/>
    <numFmt numFmtId="168" formatCode="0&quot;A&quot;"/>
    <numFmt numFmtId="169" formatCode="0&quot;E&quot;"/>
    <numFmt numFmtId="170" formatCode="#,##0.00&quot;x&quot;_);\(#,##0.00&quot;x&quot;\);&quot;- &quot;"/>
    <numFmt numFmtId="171" formatCode="#,##0.0&quot;x (GP MOIC)&quot;"/>
    <numFmt numFmtId="172" formatCode="#,##0.0&quot;x (MOIC)&quot;"/>
  </numFmts>
  <fonts count="14" x14ac:knownFonts="1">
    <font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b/>
      <sz val="12"/>
      <color theme="1"/>
      <name val="Arial"/>
    </font>
    <font>
      <b/>
      <sz val="10"/>
      <color theme="1"/>
      <name val="Arial"/>
    </font>
    <font>
      <b/>
      <i/>
      <sz val="8"/>
      <color theme="1"/>
      <name val="Arial"/>
    </font>
    <font>
      <b/>
      <sz val="8"/>
      <color rgb="FF4A5568"/>
      <name val="Arial"/>
    </font>
    <font>
      <b/>
      <sz val="8"/>
      <color rgb="FF000000"/>
      <name val="Arial"/>
    </font>
    <font>
      <i/>
      <sz val="8"/>
      <color rgb="FF333333"/>
      <name val="Arial"/>
    </font>
    <font>
      <b/>
      <sz val="8"/>
      <color rgb="FF0000FF"/>
      <name val="Arial"/>
    </font>
    <font>
      <sz val="8"/>
      <color rgb="FF000000"/>
      <name val="Arial"/>
    </font>
    <font>
      <sz val="8"/>
      <color rgb="FF0000FF"/>
      <name val="Arial"/>
    </font>
    <font>
      <sz val="8"/>
      <color rgb="FF008000"/>
      <name val="Arial"/>
    </font>
    <font>
      <b/>
      <sz val="8"/>
      <color rgb="FF008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D6DDE7"/>
      </patternFill>
    </fill>
    <fill>
      <patternFill patternType="solid">
        <fgColor rgb="FFEDEDED"/>
      </patternFill>
    </fill>
    <fill>
      <patternFill patternType="solid">
        <fgColor rgb="FFF7F9FC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6F4EA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16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3" fillId="2" borderId="0" xfId="0" applyFont="1" applyFill="1"/>
    <xf numFmtId="0" fontId="5" fillId="2" borderId="0" xfId="0" applyFont="1" applyFill="1" applyAlignment="1">
      <alignment horizontal="right" vertical="center"/>
    </xf>
    <xf numFmtId="0" fontId="4" fillId="2" borderId="0" xfId="0" applyFont="1" applyFill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0" xfId="0" applyFont="1"/>
    <xf numFmtId="0" fontId="7" fillId="4" borderId="1" xfId="0" applyFont="1" applyFill="1" applyBorder="1"/>
    <xf numFmtId="0" fontId="7" fillId="5" borderId="1" xfId="0" applyFont="1" applyFill="1" applyBorder="1"/>
    <xf numFmtId="0" fontId="7" fillId="5" borderId="1" xfId="0" applyFont="1" applyFill="1" applyBorder="1" applyAlignment="1">
      <alignment horizontal="right" vertical="center"/>
    </xf>
    <xf numFmtId="0" fontId="7" fillId="0" borderId="0" xfId="0" applyFont="1"/>
    <xf numFmtId="164" fontId="7" fillId="0" borderId="0" xfId="0" applyNumberFormat="1" applyFont="1" applyAlignment="1">
      <alignment horizontal="right" vertical="center"/>
    </xf>
    <xf numFmtId="0" fontId="10" fillId="0" borderId="0" xfId="0" applyFont="1"/>
    <xf numFmtId="164" fontId="8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5" fontId="9" fillId="7" borderId="2" xfId="0" applyNumberFormat="1" applyFont="1" applyFill="1" applyBorder="1" applyAlignment="1">
      <alignment horizontal="right" vertical="center"/>
    </xf>
    <xf numFmtId="1" fontId="9" fillId="7" borderId="2" xfId="0" applyNumberFormat="1" applyFont="1" applyFill="1" applyBorder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166" fontId="9" fillId="7" borderId="2" xfId="0" applyNumberFormat="1" applyFont="1" applyFill="1" applyBorder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0" fontId="11" fillId="0" borderId="0" xfId="0" applyNumberFormat="1" applyFont="1" applyAlignment="1">
      <alignment horizontal="right" vertical="center"/>
    </xf>
    <xf numFmtId="10" fontId="9" fillId="7" borderId="2" xfId="0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10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right" vertical="center"/>
    </xf>
    <xf numFmtId="164" fontId="9" fillId="7" borderId="2" xfId="0" applyNumberFormat="1" applyFont="1" applyFill="1" applyBorder="1" applyAlignment="1">
      <alignment horizontal="right" vertical="center"/>
    </xf>
    <xf numFmtId="164" fontId="10" fillId="0" borderId="0" xfId="0" applyNumberFormat="1" applyFont="1"/>
    <xf numFmtId="164" fontId="7" fillId="0" borderId="0" xfId="0" applyNumberFormat="1" applyFont="1"/>
    <xf numFmtId="166" fontId="10" fillId="0" borderId="0" xfId="0" applyNumberFormat="1" applyFont="1"/>
    <xf numFmtId="10" fontId="11" fillId="0" borderId="0" xfId="0" applyNumberFormat="1" applyFont="1"/>
    <xf numFmtId="164" fontId="11" fillId="0" borderId="0" xfId="0" applyNumberFormat="1" applyFont="1"/>
    <xf numFmtId="0" fontId="7" fillId="6" borderId="3" xfId="0" applyFont="1" applyFill="1" applyBorder="1"/>
    <xf numFmtId="164" fontId="7" fillId="6" borderId="3" xfId="0" applyNumberFormat="1" applyFont="1" applyFill="1" applyBorder="1"/>
    <xf numFmtId="166" fontId="7" fillId="6" borderId="3" xfId="0" applyNumberFormat="1" applyFont="1" applyFill="1" applyBorder="1"/>
    <xf numFmtId="10" fontId="7" fillId="6" borderId="3" xfId="0" applyNumberFormat="1" applyFont="1" applyFill="1" applyBorder="1"/>
    <xf numFmtId="165" fontId="10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165" fontId="7" fillId="6" borderId="3" xfId="0" applyNumberFormat="1" applyFont="1" applyFill="1" applyBorder="1"/>
    <xf numFmtId="10" fontId="7" fillId="0" borderId="0" xfId="0" applyNumberFormat="1" applyFont="1"/>
    <xf numFmtId="166" fontId="0" fillId="0" borderId="0" xfId="0" applyNumberFormat="1"/>
    <xf numFmtId="168" fontId="7" fillId="5" borderId="1" xfId="0" applyNumberFormat="1" applyFont="1" applyFill="1" applyBorder="1" applyAlignment="1">
      <alignment horizontal="center" vertical="center"/>
    </xf>
    <xf numFmtId="169" fontId="7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/>
    <xf numFmtId="164" fontId="7" fillId="6" borderId="1" xfId="0" applyNumberFormat="1" applyFont="1" applyFill="1" applyBorder="1"/>
    <xf numFmtId="169" fontId="7" fillId="0" borderId="0" xfId="0" applyNumberFormat="1" applyFont="1"/>
    <xf numFmtId="0" fontId="7" fillId="8" borderId="3" xfId="0" applyFont="1" applyFill="1" applyBorder="1"/>
    <xf numFmtId="164" fontId="7" fillId="8" borderId="3" xfId="0" applyNumberFormat="1" applyFont="1" applyFill="1" applyBorder="1"/>
    <xf numFmtId="165" fontId="7" fillId="8" borderId="3" xfId="0" applyNumberFormat="1" applyFont="1" applyFill="1" applyBorder="1"/>
    <xf numFmtId="166" fontId="7" fillId="8" borderId="3" xfId="0" applyNumberFormat="1" applyFont="1" applyFill="1" applyBorder="1"/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right" vertical="center"/>
    </xf>
    <xf numFmtId="3" fontId="9" fillId="7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right" vertical="center"/>
    </xf>
    <xf numFmtId="165" fontId="7" fillId="6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4" fontId="9" fillId="6" borderId="1" xfId="0" applyNumberFormat="1" applyFont="1" applyFill="1" applyBorder="1"/>
    <xf numFmtId="165" fontId="7" fillId="6" borderId="1" xfId="0" applyNumberFormat="1" applyFont="1" applyFill="1" applyBorder="1"/>
    <xf numFmtId="0" fontId="8" fillId="0" borderId="0" xfId="0" applyFont="1"/>
    <xf numFmtId="165" fontId="8" fillId="0" borderId="0" xfId="0" applyNumberFormat="1" applyFont="1"/>
    <xf numFmtId="164" fontId="12" fillId="0" borderId="0" xfId="0" applyNumberFormat="1" applyFont="1"/>
    <xf numFmtId="164" fontId="11" fillId="6" borderId="3" xfId="0" applyNumberFormat="1" applyFont="1" applyFill="1" applyBorder="1"/>
    <xf numFmtId="164" fontId="9" fillId="6" borderId="3" xfId="0" applyNumberFormat="1" applyFont="1" applyFill="1" applyBorder="1"/>
    <xf numFmtId="2" fontId="11" fillId="0" borderId="0" xfId="0" applyNumberFormat="1" applyFont="1"/>
    <xf numFmtId="165" fontId="11" fillId="0" borderId="0" xfId="0" applyNumberFormat="1" applyFont="1"/>
    <xf numFmtId="0" fontId="7" fillId="0" borderId="0" xfId="0" applyFont="1" applyAlignment="1">
      <alignment horizontal="right" vertical="center"/>
    </xf>
    <xf numFmtId="169" fontId="10" fillId="0" borderId="0" xfId="0" applyNumberFormat="1" applyFont="1" applyAlignment="1">
      <alignment horizontal="center" vertical="center"/>
    </xf>
    <xf numFmtId="10" fontId="9" fillId="7" borderId="2" xfId="0" applyNumberFormat="1" applyFont="1" applyFill="1" applyBorder="1"/>
    <xf numFmtId="2" fontId="7" fillId="0" borderId="0" xfId="0" applyNumberFormat="1" applyFont="1"/>
    <xf numFmtId="166" fontId="11" fillId="0" borderId="0" xfId="0" applyNumberFormat="1" applyFont="1"/>
    <xf numFmtId="0" fontId="0" fillId="0" borderId="0" xfId="0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65" fontId="9" fillId="7" borderId="2" xfId="0" applyNumberFormat="1" applyFont="1" applyFill="1" applyBorder="1"/>
    <xf numFmtId="164" fontId="9" fillId="7" borderId="2" xfId="0" applyNumberFormat="1" applyFont="1" applyFill="1" applyBorder="1"/>
    <xf numFmtId="170" fontId="9" fillId="7" borderId="2" xfId="0" applyNumberFormat="1" applyFont="1" applyFill="1" applyBorder="1"/>
    <xf numFmtId="165" fontId="11" fillId="7" borderId="0" xfId="0" applyNumberFormat="1" applyFont="1" applyFill="1"/>
    <xf numFmtId="164" fontId="8" fillId="0" borderId="0" xfId="0" applyNumberFormat="1" applyFont="1"/>
    <xf numFmtId="170" fontId="0" fillId="0" borderId="0" xfId="0" applyNumberFormat="1"/>
    <xf numFmtId="170" fontId="7" fillId="0" borderId="0" xfId="0" applyNumberFormat="1" applyFont="1"/>
    <xf numFmtId="170" fontId="8" fillId="0" borderId="0" xfId="0" applyNumberFormat="1" applyFont="1"/>
    <xf numFmtId="0" fontId="13" fillId="9" borderId="1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2" fontId="9" fillId="7" borderId="2" xfId="0" applyNumberFormat="1" applyFont="1" applyFill="1" applyBorder="1"/>
    <xf numFmtId="3" fontId="7" fillId="0" borderId="0" xfId="0" applyNumberFormat="1" applyFont="1"/>
    <xf numFmtId="10" fontId="0" fillId="0" borderId="0" xfId="0" applyNumberFormat="1"/>
    <xf numFmtId="10" fontId="8" fillId="0" borderId="0" xfId="0" applyNumberFormat="1" applyFont="1"/>
    <xf numFmtId="10" fontId="7" fillId="6" borderId="1" xfId="0" applyNumberFormat="1" applyFont="1" applyFill="1" applyBorder="1"/>
    <xf numFmtId="10" fontId="7" fillId="8" borderId="3" xfId="0" applyNumberFormat="1" applyFont="1" applyFill="1" applyBorder="1"/>
    <xf numFmtId="0" fontId="7" fillId="4" borderId="1" xfId="0" applyFont="1" applyFill="1" applyBorder="1" applyAlignment="1">
      <alignment horizontal="right" vertical="center"/>
    </xf>
    <xf numFmtId="0" fontId="13" fillId="9" borderId="2" xfId="0" applyFont="1" applyFill="1" applyBorder="1" applyAlignment="1">
      <alignment horizontal="center" vertical="center"/>
    </xf>
    <xf numFmtId="10" fontId="10" fillId="0" borderId="0" xfId="0" applyNumberFormat="1" applyFont="1"/>
    <xf numFmtId="3" fontId="10" fillId="0" borderId="0" xfId="0" applyNumberFormat="1" applyFont="1"/>
    <xf numFmtId="0" fontId="10" fillId="0" borderId="5" xfId="0" applyFont="1" applyBorder="1"/>
    <xf numFmtId="165" fontId="7" fillId="0" borderId="5" xfId="0" applyNumberFormat="1" applyFont="1" applyBorder="1" applyAlignment="1">
      <alignment horizontal="right" vertical="center"/>
    </xf>
    <xf numFmtId="166" fontId="7" fillId="0" borderId="5" xfId="0" applyNumberFormat="1" applyFont="1" applyBorder="1" applyAlignment="1">
      <alignment horizontal="right" vertical="center"/>
    </xf>
    <xf numFmtId="165" fontId="7" fillId="8" borderId="6" xfId="0" applyNumberFormat="1" applyFont="1" applyFill="1" applyBorder="1" applyAlignment="1">
      <alignment horizontal="right" vertical="center"/>
    </xf>
    <xf numFmtId="166" fontId="7" fillId="8" borderId="6" xfId="0" applyNumberFormat="1" applyFont="1" applyFill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164" fontId="10" fillId="0" borderId="5" xfId="0" applyNumberFormat="1" applyFont="1" applyBorder="1" applyAlignment="1">
      <alignment horizontal="right" vertical="center"/>
    </xf>
    <xf numFmtId="0" fontId="8" fillId="0" borderId="5" xfId="0" applyFont="1" applyBorder="1"/>
    <xf numFmtId="165" fontId="8" fillId="0" borderId="5" xfId="0" applyNumberFormat="1" applyFont="1" applyBorder="1" applyAlignment="1">
      <alignment horizontal="right" vertical="center"/>
    </xf>
    <xf numFmtId="166" fontId="8" fillId="0" borderId="5" xfId="0" applyNumberFormat="1" applyFont="1" applyBorder="1" applyAlignment="1">
      <alignment horizontal="right" vertical="center"/>
    </xf>
    <xf numFmtId="0" fontId="7" fillId="5" borderId="7" xfId="0" applyFont="1" applyFill="1" applyBorder="1"/>
    <xf numFmtId="0" fontId="7" fillId="5" borderId="7" xfId="0" applyFont="1" applyFill="1" applyBorder="1" applyAlignment="1">
      <alignment horizontal="right" vertical="center"/>
    </xf>
    <xf numFmtId="165" fontId="9" fillId="7" borderId="6" xfId="0" applyNumberFormat="1" applyFont="1" applyFill="1" applyBorder="1"/>
    <xf numFmtId="0" fontId="8" fillId="0" borderId="0" xfId="0" applyFont="1" applyAlignment="1">
      <alignment horizontal="right" vertical="center"/>
    </xf>
    <xf numFmtId="0" fontId="7" fillId="6" borderId="8" xfId="0" applyFont="1" applyFill="1" applyBorder="1"/>
    <xf numFmtId="164" fontId="7" fillId="6" borderId="8" xfId="0" applyNumberFormat="1" applyFont="1" applyFill="1" applyBorder="1"/>
    <xf numFmtId="0" fontId="8" fillId="6" borderId="8" xfId="0" applyFont="1" applyFill="1" applyBorder="1" applyAlignment="1">
      <alignment horizontal="right" vertical="center"/>
    </xf>
    <xf numFmtId="0" fontId="0" fillId="0" borderId="5" xfId="0" applyBorder="1"/>
    <xf numFmtId="0" fontId="6" fillId="0" borderId="5" xfId="0" applyFont="1" applyBorder="1"/>
    <xf numFmtId="0" fontId="7" fillId="4" borderId="7" xfId="0" applyFont="1" applyFill="1" applyBorder="1"/>
    <xf numFmtId="168" fontId="7" fillId="5" borderId="7" xfId="0" applyNumberFormat="1" applyFont="1" applyFill="1" applyBorder="1" applyAlignment="1">
      <alignment horizontal="center" vertical="center"/>
    </xf>
    <xf numFmtId="169" fontId="7" fillId="5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7" fillId="6" borderId="7" xfId="0" applyFont="1" applyFill="1" applyBorder="1"/>
    <xf numFmtId="164" fontId="7" fillId="6" borderId="7" xfId="0" applyNumberFormat="1" applyFont="1" applyFill="1" applyBorder="1" applyAlignment="1">
      <alignment horizontal="right" vertical="center"/>
    </xf>
    <xf numFmtId="164" fontId="7" fillId="6" borderId="7" xfId="0" applyNumberFormat="1" applyFont="1" applyFill="1" applyBorder="1"/>
    <xf numFmtId="165" fontId="10" fillId="0" borderId="5" xfId="0" applyNumberFormat="1" applyFont="1" applyBorder="1" applyAlignment="1">
      <alignment horizontal="right" vertical="center"/>
    </xf>
    <xf numFmtId="164" fontId="10" fillId="0" borderId="5" xfId="0" applyNumberFormat="1" applyFont="1" applyBorder="1"/>
    <xf numFmtId="164" fontId="7" fillId="0" borderId="5" xfId="0" applyNumberFormat="1" applyFont="1" applyBorder="1"/>
    <xf numFmtId="164" fontId="8" fillId="0" borderId="5" xfId="0" applyNumberFormat="1" applyFont="1" applyBorder="1"/>
    <xf numFmtId="165" fontId="8" fillId="0" borderId="5" xfId="0" applyNumberFormat="1" applyFont="1" applyBorder="1"/>
    <xf numFmtId="166" fontId="8" fillId="0" borderId="5" xfId="0" applyNumberFormat="1" applyFont="1" applyBorder="1"/>
    <xf numFmtId="0" fontId="7" fillId="8" borderId="7" xfId="0" applyFont="1" applyFill="1" applyBorder="1"/>
    <xf numFmtId="165" fontId="7" fillId="8" borderId="7" xfId="0" applyNumberFormat="1" applyFont="1" applyFill="1" applyBorder="1"/>
    <xf numFmtId="0" fontId="7" fillId="8" borderId="8" xfId="0" applyFont="1" applyFill="1" applyBorder="1"/>
    <xf numFmtId="166" fontId="7" fillId="8" borderId="8" xfId="0" applyNumberFormat="1" applyFont="1" applyFill="1" applyBorder="1"/>
    <xf numFmtId="169" fontId="7" fillId="0" borderId="5" xfId="0" applyNumberFormat="1" applyFont="1" applyBorder="1"/>
    <xf numFmtId="165" fontId="7" fillId="0" borderId="5" xfId="0" applyNumberFormat="1" applyFont="1" applyBorder="1"/>
    <xf numFmtId="166" fontId="7" fillId="0" borderId="5" xfId="0" applyNumberFormat="1" applyFont="1" applyBorder="1"/>
    <xf numFmtId="164" fontId="7" fillId="8" borderId="8" xfId="0" applyNumberFormat="1" applyFont="1" applyFill="1" applyBorder="1"/>
    <xf numFmtId="165" fontId="7" fillId="8" borderId="8" xfId="0" applyNumberFormat="1" applyFont="1" applyFill="1" applyBorder="1"/>
    <xf numFmtId="0" fontId="7" fillId="5" borderId="5" xfId="0" applyFont="1" applyFill="1" applyBorder="1"/>
    <xf numFmtId="166" fontId="9" fillId="5" borderId="5" xfId="0" applyNumberFormat="1" applyFont="1" applyFill="1" applyBorder="1" applyAlignment="1">
      <alignment horizontal="right" vertical="center"/>
    </xf>
    <xf numFmtId="171" fontId="7" fillId="5" borderId="5" xfId="0" applyNumberFormat="1" applyFont="1" applyFill="1" applyBorder="1" applyAlignment="1">
      <alignment horizontal="right" vertical="center"/>
    </xf>
    <xf numFmtId="165" fontId="9" fillId="5" borderId="5" xfId="0" applyNumberFormat="1" applyFont="1" applyFill="1" applyBorder="1" applyAlignment="1">
      <alignment horizontal="right" vertical="center"/>
    </xf>
    <xf numFmtId="165" fontId="10" fillId="0" borderId="6" xfId="0" applyNumberFormat="1" applyFont="1" applyBorder="1"/>
    <xf numFmtId="166" fontId="10" fillId="0" borderId="6" xfId="0" applyNumberFormat="1" applyFont="1" applyBorder="1"/>
    <xf numFmtId="165" fontId="7" fillId="8" borderId="6" xfId="0" applyNumberFormat="1" applyFont="1" applyFill="1" applyBorder="1"/>
    <xf numFmtId="166" fontId="7" fillId="8" borderId="6" xfId="0" applyNumberFormat="1" applyFont="1" applyFill="1" applyBorder="1"/>
    <xf numFmtId="172" fontId="7" fillId="5" borderId="5" xfId="0" applyNumberFormat="1" applyFont="1" applyFill="1" applyBorder="1" applyAlignment="1">
      <alignment horizontal="right" vertical="center"/>
    </xf>
    <xf numFmtId="165" fontId="7" fillId="6" borderId="6" xfId="0" applyNumberFormat="1" applyFont="1" applyFill="1" applyBorder="1"/>
    <xf numFmtId="166" fontId="7" fillId="6" borderId="6" xfId="0" applyNumberFormat="1" applyFont="1" applyFill="1" applyBorder="1"/>
    <xf numFmtId="0" fontId="13" fillId="9" borderId="6" xfId="0" applyFont="1" applyFill="1" applyBorder="1" applyAlignment="1">
      <alignment horizontal="center" vertical="center"/>
    </xf>
    <xf numFmtId="0" fontId="10" fillId="0" borderId="0" xfId="0" applyFont="1"/>
    <xf numFmtId="0" fontId="0" fillId="0" borderId="0" xfId="0"/>
    <xf numFmtId="0" fontId="7" fillId="0" borderId="0" xfId="0" applyFont="1"/>
    <xf numFmtId="0" fontId="10" fillId="0" borderId="5" xfId="0" applyFont="1" applyBorder="1"/>
    <xf numFmtId="0" fontId="7" fillId="0" borderId="5" xfId="0" applyFont="1" applyBorder="1"/>
    <xf numFmtId="0" fontId="7" fillId="6" borderId="8" xfId="0" applyFont="1" applyFill="1" applyBorder="1"/>
    <xf numFmtId="0" fontId="0" fillId="0" borderId="3" xfId="0" applyBorder="1"/>
    <xf numFmtId="0" fontId="7" fillId="5" borderId="7" xfId="0" applyFont="1" applyFill="1" applyBorder="1"/>
    <xf numFmtId="0" fontId="0" fillId="0" borderId="1" xfId="0" applyBorder="1"/>
    <xf numFmtId="0" fontId="8" fillId="0" borderId="5" xfId="0" applyFont="1" applyBorder="1"/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Viceroy-Scholar Model"/>
      <sheetName val="#REF"/>
      <sheetName val="01_Viceroy-Scholar_Model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/>
  </sheetViews>
  <sheetFormatPr baseColWidth="10" defaultColWidth="9.140625" defaultRowHeight="10.199999999999999" x14ac:dyDescent="0.2"/>
  <cols>
    <col min="1" max="1" width="3" customWidth="1"/>
    <col min="2" max="2" width="4" customWidth="1"/>
    <col min="3" max="3" width="6" customWidth="1"/>
    <col min="4" max="4" width="26" customWidth="1"/>
    <col min="5" max="5" width="96" customWidth="1"/>
    <col min="6" max="6" width="16" customWidth="1"/>
  </cols>
  <sheetData>
    <row r="1" spans="1:6" ht="18" customHeight="1" x14ac:dyDescent="0.3">
      <c r="A1" s="3"/>
      <c r="B1" s="4" t="s">
        <v>0</v>
      </c>
      <c r="C1" s="3"/>
      <c r="D1" s="3"/>
      <c r="E1" s="3"/>
      <c r="F1" s="5" t="s">
        <v>1</v>
      </c>
    </row>
    <row r="2" spans="1:6" ht="16.05" customHeight="1" x14ac:dyDescent="0.25">
      <c r="A2" s="6" t="s">
        <v>2</v>
      </c>
      <c r="B2" s="6" t="s">
        <v>102</v>
      </c>
      <c r="C2" s="3"/>
      <c r="D2" s="3"/>
      <c r="E2" s="3"/>
      <c r="F2" s="3"/>
    </row>
    <row r="4" spans="1:6" ht="18" customHeight="1" x14ac:dyDescent="0.2">
      <c r="C4" s="7" t="s">
        <v>103</v>
      </c>
      <c r="D4" s="8" t="s">
        <v>104</v>
      </c>
      <c r="E4" s="8" t="s">
        <v>105</v>
      </c>
    </row>
    <row r="5" spans="1:6" ht="37.950000000000003" customHeight="1" x14ac:dyDescent="0.2">
      <c r="C5" s="9">
        <v>1</v>
      </c>
      <c r="D5" s="10" t="s">
        <v>106</v>
      </c>
      <c r="E5" s="11" t="s">
        <v>107</v>
      </c>
    </row>
    <row r="6" spans="1:6" ht="37.950000000000003" customHeight="1" x14ac:dyDescent="0.2">
      <c r="C6" s="9">
        <v>2</v>
      </c>
      <c r="D6" s="10" t="s">
        <v>108</v>
      </c>
      <c r="E6" s="11" t="s">
        <v>109</v>
      </c>
    </row>
    <row r="7" spans="1:6" ht="37.950000000000003" customHeight="1" x14ac:dyDescent="0.2">
      <c r="C7" s="9">
        <v>3</v>
      </c>
      <c r="D7" s="10" t="s">
        <v>110</v>
      </c>
      <c r="E7" s="11" t="s">
        <v>111</v>
      </c>
    </row>
    <row r="8" spans="1:6" ht="37.950000000000003" customHeight="1" x14ac:dyDescent="0.2">
      <c r="C8" s="9">
        <v>4</v>
      </c>
      <c r="D8" s="10" t="s">
        <v>112</v>
      </c>
      <c r="E8" s="11" t="s">
        <v>113</v>
      </c>
    </row>
    <row r="9" spans="1:6" ht="37.950000000000003" customHeight="1" x14ac:dyDescent="0.2">
      <c r="C9" s="9">
        <v>5</v>
      </c>
      <c r="D9" s="10" t="s">
        <v>114</v>
      </c>
      <c r="E9" s="11" t="s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4"/>
  <sheetViews>
    <sheetView showGridLines="0" tabSelected="1" topLeftCell="A20" zoomScale="115" zoomScaleNormal="115" workbookViewId="0">
      <selection activeCell="L46" sqref="L46"/>
    </sheetView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54" customWidth="1"/>
    <col min="5" max="5" width="12.42578125" customWidth="1"/>
    <col min="6" max="11" width="12" customWidth="1"/>
    <col min="12" max="12" width="12.42578125" customWidth="1"/>
    <col min="13" max="14" width="13.42578125" customWidth="1"/>
  </cols>
  <sheetData>
    <row r="1" spans="1:14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 t="s">
        <v>1</v>
      </c>
    </row>
    <row r="2" spans="1:14" ht="16.05" customHeight="1" x14ac:dyDescent="0.25">
      <c r="A2" s="6" t="s">
        <v>2</v>
      </c>
      <c r="B2" s="6" t="s">
        <v>116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16.05" customHeight="1" x14ac:dyDescent="0.2">
      <c r="A4" s="12" t="s">
        <v>4</v>
      </c>
      <c r="B4" s="12" t="s">
        <v>4</v>
      </c>
      <c r="C4" s="13" t="s">
        <v>117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6" spans="1:14" x14ac:dyDescent="0.2">
      <c r="B6" s="9">
        <v>1</v>
      </c>
      <c r="D6" s="14" t="s">
        <v>118</v>
      </c>
      <c r="E6" s="14"/>
      <c r="F6" s="15" t="s">
        <v>119</v>
      </c>
      <c r="H6" s="14" t="s">
        <v>120</v>
      </c>
      <c r="I6" s="14"/>
      <c r="J6" s="14"/>
      <c r="K6" s="14"/>
      <c r="L6" s="15" t="s">
        <v>119</v>
      </c>
    </row>
    <row r="7" spans="1:14" x14ac:dyDescent="0.2">
      <c r="D7" s="16" t="s">
        <v>121</v>
      </c>
      <c r="F7" s="17">
        <f>'Active Case'!L30</f>
        <v>9433</v>
      </c>
      <c r="H7" s="158" t="s">
        <v>122</v>
      </c>
      <c r="I7" s="157"/>
      <c r="J7" s="157"/>
      <c r="K7" s="157"/>
      <c r="L7" s="17">
        <f>+F13-F19</f>
        <v>182493.83630080003</v>
      </c>
    </row>
    <row r="8" spans="1:14" x14ac:dyDescent="0.2">
      <c r="D8" s="18" t="s">
        <v>123</v>
      </c>
      <c r="F8" s="19">
        <f>'Active Case'!L26</f>
        <v>11267</v>
      </c>
      <c r="H8" s="158" t="s">
        <v>124</v>
      </c>
      <c r="I8" s="157"/>
      <c r="J8" s="157"/>
      <c r="K8" s="157"/>
      <c r="L8" s="20">
        <f>+L7/F7</f>
        <v>19.346319972522</v>
      </c>
    </row>
    <row r="9" spans="1:14" x14ac:dyDescent="0.2">
      <c r="D9" s="18" t="s">
        <v>125</v>
      </c>
      <c r="F9" s="21">
        <v>55.42</v>
      </c>
      <c r="H9" s="156" t="s">
        <v>126</v>
      </c>
      <c r="I9" s="157"/>
      <c r="J9" s="157"/>
      <c r="K9" s="157"/>
      <c r="L9" s="22">
        <f>+L7/F8</f>
        <v>16.197198571119202</v>
      </c>
    </row>
    <row r="10" spans="1:14" x14ac:dyDescent="0.2">
      <c r="D10" s="16" t="s">
        <v>127</v>
      </c>
      <c r="F10" s="23">
        <v>0.12</v>
      </c>
      <c r="H10" s="158" t="s">
        <v>128</v>
      </c>
      <c r="I10" s="157"/>
      <c r="J10" s="157"/>
      <c r="K10" s="157"/>
      <c r="L10" s="24">
        <v>2032</v>
      </c>
    </row>
    <row r="11" spans="1:14" x14ac:dyDescent="0.2">
      <c r="D11" s="16" t="s">
        <v>129</v>
      </c>
      <c r="F11" s="25">
        <f>+F9*(1+F10)</f>
        <v>62.070400000000006</v>
      </c>
      <c r="H11" s="158" t="str">
        <f>"Exit Multiple (Pre-IFRS 16 EBITDA @ "&amp;L10&amp;"E)"</f>
        <v>Exit Multiple (Pre-IFRS 16 EBITDA @ 2032E)</v>
      </c>
      <c r="I11" s="157"/>
      <c r="J11" s="157"/>
      <c r="K11" s="157"/>
      <c r="L11" s="26">
        <f>+L8</f>
        <v>19.346319972522</v>
      </c>
    </row>
    <row r="12" spans="1:14" x14ac:dyDescent="0.2">
      <c r="D12" s="18" t="s">
        <v>130</v>
      </c>
      <c r="F12" s="27">
        <v>3116.652</v>
      </c>
      <c r="H12" s="156" t="s">
        <v>131</v>
      </c>
      <c r="I12" s="157"/>
      <c r="J12" s="157"/>
      <c r="K12" s="157"/>
      <c r="L12" s="28">
        <v>0.01</v>
      </c>
    </row>
    <row r="13" spans="1:14" x14ac:dyDescent="0.2">
      <c r="D13" s="16" t="s">
        <v>132</v>
      </c>
      <c r="F13" s="17">
        <f>+F11*F12</f>
        <v>193451.83630080003</v>
      </c>
      <c r="H13" s="158" t="s">
        <v>133</v>
      </c>
      <c r="I13" s="157"/>
      <c r="J13" s="157"/>
      <c r="K13" s="157"/>
      <c r="L13" s="29">
        <v>7.4999999999999997E-3</v>
      </c>
    </row>
    <row r="14" spans="1:14" x14ac:dyDescent="0.2">
      <c r="D14" s="16" t="s">
        <v>134</v>
      </c>
      <c r="F14" s="29">
        <v>0.25</v>
      </c>
      <c r="H14" s="156" t="s">
        <v>135</v>
      </c>
      <c r="I14" s="157"/>
      <c r="J14" s="157"/>
      <c r="K14" s="157"/>
      <c r="L14" s="30">
        <v>7</v>
      </c>
    </row>
    <row r="15" spans="1:14" x14ac:dyDescent="0.2">
      <c r="D15" s="16" t="s">
        <v>136</v>
      </c>
      <c r="F15" s="31">
        <f>1-F14</f>
        <v>0.75</v>
      </c>
      <c r="H15" s="158" t="s">
        <v>137</v>
      </c>
      <c r="I15" s="157"/>
      <c r="J15" s="157"/>
      <c r="K15" s="157"/>
      <c r="L15" s="32" t="str">
        <f>'Active Case'!H8</f>
        <v>Base</v>
      </c>
    </row>
    <row r="16" spans="1:14" x14ac:dyDescent="0.2">
      <c r="D16" s="16" t="s">
        <v>138</v>
      </c>
      <c r="F16" s="17">
        <f>+F13*F14</f>
        <v>48362.959075200008</v>
      </c>
      <c r="H16" s="158" t="s">
        <v>139</v>
      </c>
      <c r="I16" s="157"/>
      <c r="J16" s="157"/>
      <c r="K16" s="157"/>
      <c r="L16" s="33">
        <f>+F30/F13</f>
        <v>0.39633043791493294</v>
      </c>
    </row>
    <row r="17" spans="1:14" x14ac:dyDescent="0.2">
      <c r="D17" s="16" t="s">
        <v>140</v>
      </c>
      <c r="F17" s="17">
        <f>+F13*F15</f>
        <v>145088.87722560001</v>
      </c>
      <c r="H17" s="159" t="s">
        <v>141</v>
      </c>
      <c r="I17" s="157"/>
      <c r="J17" s="157"/>
      <c r="K17" s="104">
        <f>+M69</f>
        <v>0.12619724534821564</v>
      </c>
      <c r="L17" s="105">
        <f>+N69</f>
        <v>2.2977418011815711</v>
      </c>
    </row>
    <row r="18" spans="1:14" x14ac:dyDescent="0.2">
      <c r="D18" s="16" t="s">
        <v>142</v>
      </c>
      <c r="F18" s="34">
        <v>1000</v>
      </c>
      <c r="H18" s="160" t="s">
        <v>143</v>
      </c>
      <c r="I18" s="157"/>
      <c r="J18" s="157"/>
      <c r="K18" s="157"/>
      <c r="L18" s="106">
        <f>+M97</f>
        <v>0.17414068184459208</v>
      </c>
    </row>
    <row r="19" spans="1:14" x14ac:dyDescent="0.2">
      <c r="D19" s="18" t="s">
        <v>144</v>
      </c>
      <c r="F19" s="27">
        <v>10958</v>
      </c>
      <c r="H19" s="160" t="s">
        <v>145</v>
      </c>
      <c r="I19" s="157"/>
      <c r="J19" s="157"/>
      <c r="K19" s="157"/>
      <c r="L19" s="107">
        <f>+N97</f>
        <v>3.0763868818905138</v>
      </c>
    </row>
    <row r="20" spans="1:14" x14ac:dyDescent="0.2">
      <c r="D20" s="16" t="s">
        <v>146</v>
      </c>
      <c r="F20" s="17">
        <f>+MAX(0,F19-F18)</f>
        <v>9958</v>
      </c>
      <c r="H20" s="160" t="s">
        <v>147</v>
      </c>
      <c r="I20" s="157"/>
      <c r="J20" s="157"/>
      <c r="K20" s="108">
        <f>+INDEX(F84:L84,1,MATCH($L$10,F48:L48,0))-J44</f>
        <v>31692.347188606378</v>
      </c>
      <c r="L20" s="109">
        <f>+INDEX(F56:L56,1,MATCH($L$10,F48:L48,0))-E44</f>
        <v>79230.867971515952</v>
      </c>
    </row>
    <row r="21" spans="1:14" x14ac:dyDescent="0.2">
      <c r="H21" s="165" t="s">
        <v>148</v>
      </c>
      <c r="I21" s="157"/>
      <c r="J21" s="157"/>
      <c r="K21" s="111">
        <f>+INDEX(F85:L85,1,MATCH($L$10,F48:L48,0))</f>
        <v>0.10707721930513125</v>
      </c>
      <c r="L21" s="112">
        <f>+INDEX(F86:L86,1,MATCH($L$10,F48:L48,0))</f>
        <v>2.0381934409452565</v>
      </c>
    </row>
    <row r="22" spans="1:14" ht="16.05" customHeight="1" x14ac:dyDescent="0.2">
      <c r="A22" s="12" t="s">
        <v>4</v>
      </c>
      <c r="B22" s="12" t="s">
        <v>4</v>
      </c>
      <c r="C22" s="13" t="s">
        <v>149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4" spans="1:14" x14ac:dyDescent="0.2">
      <c r="B24" s="9">
        <v>2</v>
      </c>
      <c r="D24" s="14" t="s">
        <v>150</v>
      </c>
      <c r="E24" s="15" t="s">
        <v>151</v>
      </c>
      <c r="F24" s="15" t="s">
        <v>12</v>
      </c>
      <c r="G24" s="15" t="s">
        <v>152</v>
      </c>
      <c r="H24" s="15" t="s">
        <v>153</v>
      </c>
      <c r="I24" s="15" t="s">
        <v>154</v>
      </c>
    </row>
    <row r="25" spans="1:14" x14ac:dyDescent="0.2">
      <c r="D25" s="18" t="s">
        <v>15</v>
      </c>
      <c r="E25" s="35">
        <f>+F25</f>
        <v>18866</v>
      </c>
      <c r="F25" s="36">
        <f>'Debt &amp; Covenants'!F8*$F$7</f>
        <v>18866</v>
      </c>
      <c r="G25" s="37">
        <f>'Debt &amp; Covenants'!F8</f>
        <v>2</v>
      </c>
      <c r="H25" s="38">
        <v>1.2500000000000001E-2</v>
      </c>
      <c r="I25" s="35">
        <f>+E25*H25</f>
        <v>235.82500000000002</v>
      </c>
    </row>
    <row r="26" spans="1:14" x14ac:dyDescent="0.2">
      <c r="D26" s="18" t="s">
        <v>16</v>
      </c>
      <c r="E26" s="35">
        <f>+F26</f>
        <v>33015.5</v>
      </c>
      <c r="F26" s="36">
        <f>'Debt &amp; Covenants'!F9*$F$7</f>
        <v>33015.5</v>
      </c>
      <c r="G26" s="37">
        <f>'Debt &amp; Covenants'!F9</f>
        <v>3.5</v>
      </c>
      <c r="H26" s="38">
        <v>1.7500000000000002E-2</v>
      </c>
      <c r="I26" s="35">
        <f>+E26*H26</f>
        <v>577.77125000000001</v>
      </c>
    </row>
    <row r="27" spans="1:14" x14ac:dyDescent="0.2">
      <c r="D27" s="18" t="s">
        <v>155</v>
      </c>
      <c r="E27" s="35">
        <f>+F27</f>
        <v>14149.5</v>
      </c>
      <c r="F27" s="36">
        <f>'Debt &amp; Covenants'!F10*$F$7</f>
        <v>14149.5</v>
      </c>
      <c r="G27" s="37">
        <f>'Debt &amp; Covenants'!F10</f>
        <v>1.5</v>
      </c>
      <c r="H27" s="38">
        <v>2.2499999999999999E-2</v>
      </c>
      <c r="I27" s="35">
        <f>+E27*H27</f>
        <v>318.36374999999998</v>
      </c>
    </row>
    <row r="28" spans="1:14" x14ac:dyDescent="0.2">
      <c r="D28" s="18" t="s">
        <v>156</v>
      </c>
      <c r="E28" s="35">
        <f>+F28</f>
        <v>10639.850996544003</v>
      </c>
      <c r="F28" s="36">
        <f>'Debt &amp; Covenants'!F11*$F$7</f>
        <v>10639.850996544003</v>
      </c>
      <c r="G28" s="37">
        <f>'Debt &amp; Covenants'!F11</f>
        <v>1.127939255437719</v>
      </c>
      <c r="H28" s="38">
        <v>0</v>
      </c>
      <c r="I28" s="35">
        <f>+E28*H28</f>
        <v>0</v>
      </c>
    </row>
    <row r="29" spans="1:14" x14ac:dyDescent="0.2">
      <c r="D29" s="18" t="s">
        <v>157</v>
      </c>
      <c r="E29" s="35">
        <f>'Debt &amp; Covenants'!E14</f>
        <v>1000</v>
      </c>
      <c r="F29" s="39">
        <v>0</v>
      </c>
      <c r="G29" s="37">
        <f>+E29/$F$7</f>
        <v>0.1060108131029365</v>
      </c>
      <c r="H29" s="38">
        <v>0.01</v>
      </c>
      <c r="I29" s="35">
        <f>+E29*H29</f>
        <v>10</v>
      </c>
    </row>
    <row r="30" spans="1:14" x14ac:dyDescent="0.2">
      <c r="D30" s="40" t="s">
        <v>158</v>
      </c>
      <c r="E30" s="41">
        <f>+SUM(E25:E29)</f>
        <v>77670.850996544003</v>
      </c>
      <c r="F30" s="41">
        <f>+SUM(F25:F29)</f>
        <v>76670.850996544003</v>
      </c>
      <c r="G30" s="42">
        <f>+SUM(G25:G28)</f>
        <v>8.1279392554377186</v>
      </c>
      <c r="H30" s="43">
        <f>+I30/E30</f>
        <v>1.4702555532072283E-2</v>
      </c>
      <c r="I30" s="41">
        <f>+SUM(I25:I29)</f>
        <v>1141.96</v>
      </c>
    </row>
    <row r="32" spans="1:14" x14ac:dyDescent="0.2">
      <c r="D32" s="14" t="s">
        <v>159</v>
      </c>
      <c r="E32" s="15" t="s">
        <v>26</v>
      </c>
      <c r="F32" s="15" t="s">
        <v>160</v>
      </c>
      <c r="G32" s="15" t="s">
        <v>8</v>
      </c>
      <c r="H32" s="14" t="s">
        <v>161</v>
      </c>
      <c r="I32" s="14"/>
      <c r="J32" s="15" t="s">
        <v>26</v>
      </c>
      <c r="K32" s="15" t="s">
        <v>160</v>
      </c>
      <c r="L32" s="15" t="s">
        <v>8</v>
      </c>
    </row>
    <row r="33" spans="1:14" x14ac:dyDescent="0.2">
      <c r="D33" s="18" t="s">
        <v>162</v>
      </c>
      <c r="E33" s="35">
        <f>+F25</f>
        <v>18866</v>
      </c>
      <c r="F33" s="44">
        <f t="shared" ref="F33:F39" si="0">+E33/$E$40</f>
        <v>9.6233162316895188E-2</v>
      </c>
      <c r="G33" s="37">
        <f t="shared" ref="G33:G39" si="1">+E33/$F$7</f>
        <v>2</v>
      </c>
      <c r="H33" s="158" t="s">
        <v>163</v>
      </c>
      <c r="I33" s="157"/>
      <c r="J33" s="36">
        <f>+F17</f>
        <v>145088.87722560001</v>
      </c>
      <c r="K33" s="45">
        <f>+J33/$J$40</f>
        <v>0.74008064626456294</v>
      </c>
      <c r="L33" s="46">
        <f>+J33/$F$7</f>
        <v>15.380989846877982</v>
      </c>
    </row>
    <row r="34" spans="1:14" x14ac:dyDescent="0.2">
      <c r="D34" s="18" t="s">
        <v>164</v>
      </c>
      <c r="E34" s="35">
        <f>+F26</f>
        <v>33015.5</v>
      </c>
      <c r="F34" s="44">
        <f t="shared" si="0"/>
        <v>0.16840803405456659</v>
      </c>
      <c r="G34" s="37">
        <f t="shared" si="1"/>
        <v>3.5</v>
      </c>
      <c r="H34" s="158" t="s">
        <v>165</v>
      </c>
      <c r="I34" s="157"/>
      <c r="J34" s="36">
        <f>+F16</f>
        <v>48362.959075200008</v>
      </c>
      <c r="K34" s="45">
        <f>+J34/$J$40</f>
        <v>0.24669354875485433</v>
      </c>
      <c r="L34" s="46">
        <f>+J34/$F$7</f>
        <v>5.1269966156259947</v>
      </c>
    </row>
    <row r="35" spans="1:14" x14ac:dyDescent="0.2">
      <c r="D35" s="18" t="s">
        <v>166</v>
      </c>
      <c r="E35" s="35">
        <f>+F27</f>
        <v>14149.5</v>
      </c>
      <c r="F35" s="44">
        <f t="shared" si="0"/>
        <v>7.2174871737671398E-2</v>
      </c>
      <c r="G35" s="37">
        <f t="shared" si="1"/>
        <v>1.5</v>
      </c>
      <c r="H35" s="156" t="s">
        <v>167</v>
      </c>
      <c r="I35" s="157"/>
      <c r="J35" s="35">
        <f>+I30</f>
        <v>1141.96</v>
      </c>
      <c r="K35" s="44">
        <f>+J35/$J$40</f>
        <v>5.8249985179371164E-3</v>
      </c>
      <c r="L35" s="37">
        <f>+J35/$F$7</f>
        <v>0.12106010813102937</v>
      </c>
    </row>
    <row r="36" spans="1:14" x14ac:dyDescent="0.2">
      <c r="D36" s="18" t="s">
        <v>168</v>
      </c>
      <c r="E36" s="35">
        <f>+F28</f>
        <v>10639.850996544003</v>
      </c>
      <c r="F36" s="44">
        <f t="shared" si="0"/>
        <v>5.4272580726067957E-2</v>
      </c>
      <c r="G36" s="37">
        <f t="shared" si="1"/>
        <v>1.127939255437719</v>
      </c>
      <c r="H36" s="156" t="s">
        <v>169</v>
      </c>
      <c r="I36" s="157"/>
      <c r="J36" s="35">
        <f>+F17*L12</f>
        <v>1450.888772256</v>
      </c>
      <c r="K36" s="44">
        <f>+J36/$J$40</f>
        <v>7.4008064626456286E-3</v>
      </c>
      <c r="L36" s="37">
        <f>+J36/$F$7</f>
        <v>0.15380989846877982</v>
      </c>
    </row>
    <row r="37" spans="1:14" x14ac:dyDescent="0.2">
      <c r="D37" s="18" t="s">
        <v>170</v>
      </c>
      <c r="E37" s="35">
        <f>+F20</f>
        <v>9958</v>
      </c>
      <c r="F37" s="44">
        <f t="shared" si="0"/>
        <v>5.0794542051926336E-2</v>
      </c>
      <c r="G37" s="37">
        <f t="shared" si="1"/>
        <v>1.0556556768790417</v>
      </c>
      <c r="H37" s="156" t="s">
        <v>171</v>
      </c>
      <c r="I37" s="157"/>
      <c r="J37" s="39">
        <v>0</v>
      </c>
      <c r="K37" s="44">
        <f>+J37/$J$40</f>
        <v>0</v>
      </c>
      <c r="L37" s="37">
        <f>+J37/$F$7</f>
        <v>0</v>
      </c>
    </row>
    <row r="38" spans="1:14" x14ac:dyDescent="0.2">
      <c r="D38" s="16" t="s">
        <v>172</v>
      </c>
      <c r="E38" s="36">
        <f>+F16</f>
        <v>48362.959075200008</v>
      </c>
      <c r="F38" s="45">
        <f t="shared" si="0"/>
        <v>0.24669354875485433</v>
      </c>
      <c r="G38" s="46">
        <f t="shared" si="1"/>
        <v>5.1269966156259947</v>
      </c>
    </row>
    <row r="39" spans="1:14" x14ac:dyDescent="0.2">
      <c r="D39" s="16" t="s">
        <v>173</v>
      </c>
      <c r="E39" s="36">
        <f>+E40-SUM(E33:E38)</f>
        <v>61052.875001312001</v>
      </c>
      <c r="F39" s="45">
        <f t="shared" si="0"/>
        <v>0.31142326035801815</v>
      </c>
      <c r="G39" s="46">
        <f t="shared" si="1"/>
        <v>6.4722649211610301</v>
      </c>
    </row>
    <row r="40" spans="1:14" x14ac:dyDescent="0.2">
      <c r="D40" s="40" t="s">
        <v>174</v>
      </c>
      <c r="E40" s="41">
        <f>+J40</f>
        <v>196044.68507305603</v>
      </c>
      <c r="F40" s="47">
        <f>+SUM(F33:F39)</f>
        <v>0.99999999999999989</v>
      </c>
      <c r="G40" s="42">
        <f>+SUM(G33:G39)</f>
        <v>20.782856469103784</v>
      </c>
      <c r="H40" s="40" t="s">
        <v>175</v>
      </c>
      <c r="I40" s="40"/>
      <c r="J40" s="41">
        <f>+SUM(J33:J37)</f>
        <v>196044.68507305603</v>
      </c>
      <c r="K40" s="47">
        <f>+SUM(K33:K37)</f>
        <v>1.0000000000000002</v>
      </c>
      <c r="L40" s="42">
        <f>+SUM(L33:L37)</f>
        <v>20.782856469103788</v>
      </c>
    </row>
    <row r="42" spans="1:14" x14ac:dyDescent="0.2">
      <c r="D42" s="14" t="s">
        <v>176</v>
      </c>
      <c r="E42" s="15" t="s">
        <v>177</v>
      </c>
      <c r="F42" s="15" t="s">
        <v>178</v>
      </c>
      <c r="G42" s="15" t="s">
        <v>8</v>
      </c>
      <c r="H42" s="163" t="s">
        <v>179</v>
      </c>
      <c r="I42" s="164"/>
      <c r="J42" s="114" t="s">
        <v>180</v>
      </c>
      <c r="K42" s="114" t="s">
        <v>178</v>
      </c>
      <c r="L42" s="114" t="s">
        <v>181</v>
      </c>
    </row>
    <row r="43" spans="1:14" x14ac:dyDescent="0.2">
      <c r="D43" s="18" t="s">
        <v>182</v>
      </c>
      <c r="E43" s="1">
        <f>+E38</f>
        <v>48362.959075200008</v>
      </c>
      <c r="F43" s="48">
        <f>+E43/$E$45</f>
        <v>0.44201060553430399</v>
      </c>
      <c r="G43" s="49">
        <f>+E43/$F$7</f>
        <v>5.1269966156259947</v>
      </c>
      <c r="H43" s="156" t="s">
        <v>183</v>
      </c>
      <c r="I43" s="157"/>
      <c r="J43" s="35">
        <f>+E44*L43</f>
        <v>45789.656250984001</v>
      </c>
      <c r="K43" s="101">
        <f>+J43/$E$45</f>
        <v>0.41849204584927202</v>
      </c>
      <c r="L43" s="115">
        <v>0.75</v>
      </c>
    </row>
    <row r="44" spans="1:14" x14ac:dyDescent="0.2">
      <c r="D44" s="16" t="s">
        <v>184</v>
      </c>
      <c r="E44" s="36">
        <f>+E39</f>
        <v>61052.875001312001</v>
      </c>
      <c r="F44" s="48">
        <f>+E44/$E$45</f>
        <v>0.55798939446569595</v>
      </c>
      <c r="G44" s="46">
        <f>+E44/$F$7</f>
        <v>6.4722649211610301</v>
      </c>
      <c r="H44" s="158" t="s">
        <v>185</v>
      </c>
      <c r="I44" s="157"/>
      <c r="J44" s="36">
        <f>+E44*L44</f>
        <v>15263.218750328</v>
      </c>
      <c r="K44" s="48">
        <f>+J44/$E$45</f>
        <v>0.13949734861642399</v>
      </c>
      <c r="L44" s="45">
        <f>1-L43</f>
        <v>0.25</v>
      </c>
    </row>
    <row r="45" spans="1:14" x14ac:dyDescent="0.2">
      <c r="D45" s="40" t="s">
        <v>186</v>
      </c>
      <c r="E45" s="41">
        <f>+E43+E44</f>
        <v>109415.83407651201</v>
      </c>
      <c r="F45" s="43">
        <f>+F43+F44</f>
        <v>1</v>
      </c>
      <c r="G45" s="42">
        <f>+G43+G44</f>
        <v>11.599261536787026</v>
      </c>
      <c r="H45" s="158" t="s">
        <v>187</v>
      </c>
      <c r="I45" s="157"/>
      <c r="J45" s="115">
        <v>1</v>
      </c>
      <c r="K45" s="116" t="s">
        <v>188</v>
      </c>
      <c r="L45" s="115">
        <v>0.1</v>
      </c>
    </row>
    <row r="46" spans="1:14" x14ac:dyDescent="0.2">
      <c r="H46" s="161" t="s">
        <v>189</v>
      </c>
      <c r="I46" s="162"/>
      <c r="J46" s="118">
        <f>+J43+J44</f>
        <v>61052.875001312001</v>
      </c>
      <c r="K46" s="119" t="s">
        <v>190</v>
      </c>
      <c r="L46" s="115">
        <v>0.2</v>
      </c>
    </row>
    <row r="47" spans="1:14" ht="16.05" customHeight="1" x14ac:dyDescent="0.2">
      <c r="A47" s="12" t="s">
        <v>4</v>
      </c>
      <c r="B47" s="12" t="s">
        <v>4</v>
      </c>
      <c r="C47" s="13" t="s">
        <v>191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x14ac:dyDescent="0.2">
      <c r="D48" s="14" t="s">
        <v>192</v>
      </c>
      <c r="E48" s="50">
        <v>2025</v>
      </c>
      <c r="F48" s="51">
        <f t="shared" ref="F48:L48" si="2">+E48+1</f>
        <v>2026</v>
      </c>
      <c r="G48" s="51">
        <f t="shared" si="2"/>
        <v>2027</v>
      </c>
      <c r="H48" s="51">
        <f t="shared" si="2"/>
        <v>2028</v>
      </c>
      <c r="I48" s="51">
        <f t="shared" si="2"/>
        <v>2029</v>
      </c>
      <c r="J48" s="51">
        <f t="shared" si="2"/>
        <v>2030</v>
      </c>
      <c r="K48" s="51">
        <f t="shared" si="2"/>
        <v>2031</v>
      </c>
      <c r="L48" s="51">
        <f t="shared" si="2"/>
        <v>2032</v>
      </c>
    </row>
    <row r="49" spans="2:14" x14ac:dyDescent="0.2">
      <c r="B49" s="9">
        <v>3</v>
      </c>
      <c r="D49" s="18" t="s">
        <v>193</v>
      </c>
      <c r="E49" s="1">
        <f>'Active Case'!L30</f>
        <v>9433</v>
      </c>
      <c r="F49" s="1">
        <f>'Active Case'!M30</f>
        <v>10143.127139999995</v>
      </c>
      <c r="G49" s="1">
        <f>'Active Case'!N30</f>
        <v>10922.261526449996</v>
      </c>
      <c r="H49" s="1">
        <f>'Active Case'!O30</f>
        <v>11752.178795389118</v>
      </c>
      <c r="I49" s="1">
        <f>'Active Case'!P30</f>
        <v>12635.979588021728</v>
      </c>
      <c r="J49" s="1">
        <f>'Active Case'!Q30</f>
        <v>13576.947563817597</v>
      </c>
      <c r="K49" s="1">
        <f>'Active Case'!R30</f>
        <v>14578.559985258678</v>
      </c>
      <c r="L49" s="1">
        <f>'Active Case'!S30</f>
        <v>15644.498906557797</v>
      </c>
    </row>
    <row r="50" spans="2:14" x14ac:dyDescent="0.2">
      <c r="D50" s="18" t="s">
        <v>194</v>
      </c>
      <c r="E50" s="49">
        <f t="shared" ref="E50:L50" si="3">+$L$11</f>
        <v>19.346319972522</v>
      </c>
      <c r="F50" s="49">
        <f t="shared" si="3"/>
        <v>19.346319972522</v>
      </c>
      <c r="G50" s="49">
        <f t="shared" si="3"/>
        <v>19.346319972522</v>
      </c>
      <c r="H50" s="49">
        <f t="shared" si="3"/>
        <v>19.346319972522</v>
      </c>
      <c r="I50" s="49">
        <f t="shared" si="3"/>
        <v>19.346319972522</v>
      </c>
      <c r="J50" s="49">
        <f t="shared" si="3"/>
        <v>19.346319972522</v>
      </c>
      <c r="K50" s="49">
        <f t="shared" si="3"/>
        <v>19.346319972522</v>
      </c>
      <c r="L50" s="49">
        <f t="shared" si="3"/>
        <v>19.346319972522</v>
      </c>
    </row>
    <row r="51" spans="2:14" x14ac:dyDescent="0.2">
      <c r="D51" s="52" t="s">
        <v>195</v>
      </c>
      <c r="E51" s="53">
        <f t="shared" ref="E51:L51" si="4">+E49*E50</f>
        <v>182493.83630080003</v>
      </c>
      <c r="F51" s="53">
        <f t="shared" si="4"/>
        <v>196232.18317241187</v>
      </c>
      <c r="G51" s="53">
        <f t="shared" si="4"/>
        <v>211305.56631426819</v>
      </c>
      <c r="H51" s="53">
        <f t="shared" si="4"/>
        <v>227361.41134988604</v>
      </c>
      <c r="I51" s="53">
        <f t="shared" si="4"/>
        <v>244459.70427612506</v>
      </c>
      <c r="J51" s="53">
        <f t="shared" si="4"/>
        <v>262663.97181976831</v>
      </c>
      <c r="K51" s="53">
        <f t="shared" si="4"/>
        <v>282041.48621341999</v>
      </c>
      <c r="L51" s="53">
        <f t="shared" si="4"/>
        <v>302663.48165603774</v>
      </c>
    </row>
    <row r="52" spans="2:14" x14ac:dyDescent="0.2">
      <c r="D52" s="18" t="s">
        <v>196</v>
      </c>
      <c r="E52" s="1">
        <f t="shared" ref="E52:L52" si="5">-E51*$L$13</f>
        <v>-1368.7037722560001</v>
      </c>
      <c r="F52" s="1">
        <f t="shared" si="5"/>
        <v>-1471.741373793089</v>
      </c>
      <c r="G52" s="1">
        <f t="shared" si="5"/>
        <v>-1584.7917473570114</v>
      </c>
      <c r="H52" s="1">
        <f t="shared" si="5"/>
        <v>-1705.2105851241452</v>
      </c>
      <c r="I52" s="1">
        <f t="shared" si="5"/>
        <v>-1833.4477820709378</v>
      </c>
      <c r="J52" s="1">
        <f t="shared" si="5"/>
        <v>-1969.9797886482622</v>
      </c>
      <c r="K52" s="1">
        <f t="shared" si="5"/>
        <v>-2115.3111466006499</v>
      </c>
      <c r="L52" s="1">
        <f t="shared" si="5"/>
        <v>-2269.9761124202828</v>
      </c>
    </row>
    <row r="53" spans="2:14" x14ac:dyDescent="0.2">
      <c r="D53" s="18" t="s">
        <v>197</v>
      </c>
      <c r="E53" s="1">
        <f>-'Debt &amp; Covenants'!E68</f>
        <v>-76670.850996544003</v>
      </c>
      <c r="F53" s="1">
        <f>-'Debt &amp; Covenants'!F68</f>
        <v>-75537.551143646211</v>
      </c>
      <c r="G53" s="1">
        <f>-'Debt &amp; Covenants'!G68</f>
        <v>-73421.760339094893</v>
      </c>
      <c r="H53" s="1">
        <f>-'Debt &amp; Covenants'!H68</f>
        <v>-70546.988964516</v>
      </c>
      <c r="I53" s="1">
        <f>-'Debt &amp; Covenants'!I68</f>
        <v>-67046.487413010051</v>
      </c>
      <c r="J53" s="1">
        <f>-'Debt &amp; Covenants'!J68</f>
        <v>-62568.455670866126</v>
      </c>
      <c r="K53" s="1">
        <f>-'Debt &amp; Covenants'!K68</f>
        <v>-57285.901109183455</v>
      </c>
      <c r="L53" s="1">
        <f>-'Debt &amp; Covenants'!L68</f>
        <v>-51167.573644556731</v>
      </c>
    </row>
    <row r="54" spans="2:14" x14ac:dyDescent="0.2">
      <c r="D54" s="18" t="s">
        <v>198</v>
      </c>
      <c r="E54" s="1">
        <f>+'Debt &amp; Covenants'!E93</f>
        <v>1000</v>
      </c>
      <c r="F54" s="1">
        <f>+'Debt &amp; Covenants'!F93</f>
        <v>1389.5923357749998</v>
      </c>
      <c r="G54" s="1">
        <f>+'Debt &amp; Covenants'!G93</f>
        <v>1428.7315387123308</v>
      </c>
      <c r="H54" s="1">
        <f>+'Debt &amp; Covenants'!H93</f>
        <v>1431.5529913001574</v>
      </c>
      <c r="I54" s="1">
        <f>+'Debt &amp; Covenants'!I93</f>
        <v>1580.7648761553987</v>
      </c>
      <c r="J54" s="1">
        <f>+'Debt &amp; Covenants'!J93</f>
        <v>1629.3826107242526</v>
      </c>
      <c r="K54" s="1">
        <f>+'Debt &amp; Covenants'!K93</f>
        <v>1818.1060681098056</v>
      </c>
      <c r="L54" s="1">
        <f>+'Debt &amp; Covenants'!L93</f>
        <v>2183.4037696878836</v>
      </c>
    </row>
    <row r="55" spans="2:14" x14ac:dyDescent="0.2">
      <c r="D55" s="40" t="s">
        <v>199</v>
      </c>
      <c r="E55" s="41">
        <f t="shared" ref="E55:L55" si="6">+SUM(E51:E54)</f>
        <v>105454.28153200002</v>
      </c>
      <c r="F55" s="41">
        <f t="shared" si="6"/>
        <v>120612.48299074758</v>
      </c>
      <c r="G55" s="41">
        <f t="shared" si="6"/>
        <v>137727.74576652865</v>
      </c>
      <c r="H55" s="41">
        <f t="shared" si="6"/>
        <v>156540.76479154604</v>
      </c>
      <c r="I55" s="41">
        <f t="shared" si="6"/>
        <v>177160.53395719946</v>
      </c>
      <c r="J55" s="41">
        <f t="shared" si="6"/>
        <v>199754.91897097818</v>
      </c>
      <c r="K55" s="41">
        <f t="shared" si="6"/>
        <v>224458.38002574572</v>
      </c>
      <c r="L55" s="41">
        <f t="shared" si="6"/>
        <v>251409.33566874862</v>
      </c>
    </row>
    <row r="56" spans="2:14" x14ac:dyDescent="0.2">
      <c r="D56" s="16" t="s">
        <v>200</v>
      </c>
      <c r="E56" s="36">
        <f t="shared" ref="E56:L56" si="7">+E55*$F$44</f>
        <v>58842.370695855716</v>
      </c>
      <c r="F56" s="36">
        <f t="shared" si="7"/>
        <v>67300.486349011291</v>
      </c>
      <c r="G56" s="36">
        <f t="shared" si="7"/>
        <v>76850.621461390634</v>
      </c>
      <c r="H56" s="36">
        <f t="shared" si="7"/>
        <v>87348.086555231712</v>
      </c>
      <c r="I56" s="36">
        <f t="shared" si="7"/>
        <v>98853.699065997091</v>
      </c>
      <c r="J56" s="36">
        <f t="shared" si="7"/>
        <v>111461.12627816027</v>
      </c>
      <c r="K56" s="36">
        <f t="shared" si="7"/>
        <v>125245.39555331692</v>
      </c>
      <c r="L56" s="36">
        <f t="shared" si="7"/>
        <v>140283.74297282795</v>
      </c>
    </row>
    <row r="57" spans="2:14" x14ac:dyDescent="0.2">
      <c r="D57" s="18" t="s">
        <v>201</v>
      </c>
      <c r="E57" s="1">
        <f t="shared" ref="E57:L57" si="8">+E55*$F$43</f>
        <v>46611.9108361443</v>
      </c>
      <c r="F57" s="1">
        <f t="shared" si="8"/>
        <v>53311.996641736281</v>
      </c>
      <c r="G57" s="1">
        <f t="shared" si="8"/>
        <v>60877.124305138001</v>
      </c>
      <c r="H57" s="1">
        <f t="shared" si="8"/>
        <v>69192.678236314314</v>
      </c>
      <c r="I57" s="1">
        <f t="shared" si="8"/>
        <v>78306.83489120235</v>
      </c>
      <c r="J57" s="1">
        <f t="shared" si="8"/>
        <v>88293.792692817893</v>
      </c>
      <c r="K57" s="1">
        <f t="shared" si="8"/>
        <v>99212.984472428783</v>
      </c>
      <c r="L57" s="1">
        <f t="shared" si="8"/>
        <v>111125.59269592067</v>
      </c>
    </row>
    <row r="58" spans="2:14" x14ac:dyDescent="0.2">
      <c r="D58" s="16" t="s">
        <v>202</v>
      </c>
      <c r="F58" s="45">
        <f>+M62</f>
        <v>0.10233115717425312</v>
      </c>
      <c r="G58" s="45">
        <f>+M63</f>
        <v>0.12194258335188413</v>
      </c>
      <c r="H58" s="45">
        <f>+M64</f>
        <v>0.12680584726993538</v>
      </c>
      <c r="I58" s="45">
        <f>+M65</f>
        <v>0.12803273097350698</v>
      </c>
      <c r="J58" s="45">
        <f>+M66</f>
        <v>0.12793341149371673</v>
      </c>
      <c r="K58" s="45">
        <f>+M67</f>
        <v>0.12722152890074323</v>
      </c>
      <c r="L58" s="45">
        <f>+M68</f>
        <v>0.12619724534821564</v>
      </c>
    </row>
    <row r="59" spans="2:14" x14ac:dyDescent="0.2">
      <c r="D59" s="16" t="s">
        <v>203</v>
      </c>
      <c r="F59" s="46">
        <f>+N62</f>
        <v>1.1023311571742531</v>
      </c>
      <c r="G59" s="46">
        <f>+N63</f>
        <v>1.2587551603382994</v>
      </c>
      <c r="H59" s="46">
        <f>+N64</f>
        <v>1.430695713401779</v>
      </c>
      <c r="I59" s="46">
        <f>+N65</f>
        <v>1.6191489600427951</v>
      </c>
      <c r="J59" s="46">
        <f>+N66</f>
        <v>1.8256490996659047</v>
      </c>
      <c r="K59" s="46">
        <f>+N67</f>
        <v>2.0514250238113347</v>
      </c>
      <c r="L59" s="46">
        <f>+N68</f>
        <v>2.2977418011815711</v>
      </c>
    </row>
    <row r="61" spans="2:14" x14ac:dyDescent="0.2">
      <c r="D61" s="14" t="s">
        <v>204</v>
      </c>
      <c r="E61" s="50">
        <f t="shared" ref="E61:L61" si="9">+E48</f>
        <v>2025</v>
      </c>
      <c r="F61" s="51">
        <f t="shared" si="9"/>
        <v>2026</v>
      </c>
      <c r="G61" s="51">
        <f t="shared" si="9"/>
        <v>2027</v>
      </c>
      <c r="H61" s="51">
        <f t="shared" si="9"/>
        <v>2028</v>
      </c>
      <c r="I61" s="51">
        <f t="shared" si="9"/>
        <v>2029</v>
      </c>
      <c r="J61" s="51">
        <f t="shared" si="9"/>
        <v>2030</v>
      </c>
      <c r="K61" s="51">
        <f t="shared" si="9"/>
        <v>2031</v>
      </c>
      <c r="L61" s="51">
        <f t="shared" si="9"/>
        <v>2032</v>
      </c>
      <c r="M61" s="15" t="s">
        <v>205</v>
      </c>
      <c r="N61" s="15" t="s">
        <v>206</v>
      </c>
    </row>
    <row r="62" spans="2:14" x14ac:dyDescent="0.2">
      <c r="D62" s="54">
        <f>+F61</f>
        <v>2026</v>
      </c>
      <c r="E62" s="35">
        <f t="shared" ref="E62:E68" si="10">-$E$44</f>
        <v>-61052.875001312001</v>
      </c>
      <c r="F62" s="35">
        <f>+F$56</f>
        <v>67300.486349011291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45">
        <f>+IFERROR((N62)^(1/(F$61-$E$61))-1,0)</f>
        <v>0.10233115717425312</v>
      </c>
      <c r="N62" s="46">
        <f>+IFERROR(-SUM(F62:F62)/E62,0)</f>
        <v>1.1023311571742531</v>
      </c>
    </row>
    <row r="63" spans="2:14" x14ac:dyDescent="0.2">
      <c r="D63" s="54">
        <f>+G61</f>
        <v>2027</v>
      </c>
      <c r="E63" s="35">
        <f t="shared" si="10"/>
        <v>-61052.875001312001</v>
      </c>
      <c r="F63" s="35">
        <v>0</v>
      </c>
      <c r="G63" s="35">
        <f>+G$56</f>
        <v>76850.621461390634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45">
        <f>+IFERROR((N63)^(1/(G$61-$E$61))-1,0)</f>
        <v>0.12194258335188413</v>
      </c>
      <c r="N63" s="46">
        <f>+IFERROR(-SUM(F63:G63)/E63,0)</f>
        <v>1.2587551603382994</v>
      </c>
    </row>
    <row r="64" spans="2:14" x14ac:dyDescent="0.2">
      <c r="D64" s="54">
        <f>+H61</f>
        <v>2028</v>
      </c>
      <c r="E64" s="35">
        <f t="shared" si="10"/>
        <v>-61052.875001312001</v>
      </c>
      <c r="F64" s="35">
        <v>0</v>
      </c>
      <c r="G64" s="35">
        <v>0</v>
      </c>
      <c r="H64" s="35">
        <f>+H$56</f>
        <v>87348.086555231712</v>
      </c>
      <c r="I64" s="35">
        <v>0</v>
      </c>
      <c r="J64" s="35">
        <v>0</v>
      </c>
      <c r="K64" s="35">
        <v>0</v>
      </c>
      <c r="L64" s="35">
        <v>0</v>
      </c>
      <c r="M64" s="45">
        <f>+IFERROR((N64)^(1/(H$61-$E$61))-1,0)</f>
        <v>0.12680584726993538</v>
      </c>
      <c r="N64" s="46">
        <f>+IFERROR(-SUM(F64:H64)/E64,0)</f>
        <v>1.430695713401779</v>
      </c>
    </row>
    <row r="65" spans="1:15" x14ac:dyDescent="0.2">
      <c r="D65" s="54">
        <f>+I61</f>
        <v>2029</v>
      </c>
      <c r="E65" s="35">
        <f t="shared" si="10"/>
        <v>-61052.875001312001</v>
      </c>
      <c r="F65" s="35">
        <v>0</v>
      </c>
      <c r="G65" s="35">
        <v>0</v>
      </c>
      <c r="H65" s="35">
        <v>0</v>
      </c>
      <c r="I65" s="35">
        <f>+I$56</f>
        <v>98853.699065997091</v>
      </c>
      <c r="J65" s="35">
        <v>0</v>
      </c>
      <c r="K65" s="35">
        <v>0</v>
      </c>
      <c r="L65" s="35">
        <v>0</v>
      </c>
      <c r="M65" s="45">
        <f>+IFERROR((N65)^(1/(I$61-$E$61))-1,0)</f>
        <v>0.12803273097350698</v>
      </c>
      <c r="N65" s="46">
        <f>+IFERROR(-SUM(F65:I65)/E65,0)</f>
        <v>1.6191489600427951</v>
      </c>
    </row>
    <row r="66" spans="1:15" x14ac:dyDescent="0.2">
      <c r="D66" s="54">
        <f>+J61</f>
        <v>2030</v>
      </c>
      <c r="E66" s="35">
        <f t="shared" si="10"/>
        <v>-61052.875001312001</v>
      </c>
      <c r="F66" s="35">
        <v>0</v>
      </c>
      <c r="G66" s="35">
        <v>0</v>
      </c>
      <c r="H66" s="35">
        <v>0</v>
      </c>
      <c r="I66" s="35">
        <v>0</v>
      </c>
      <c r="J66" s="35">
        <f>+J$56</f>
        <v>111461.12627816027</v>
      </c>
      <c r="K66" s="35">
        <v>0</v>
      </c>
      <c r="L66" s="35">
        <v>0</v>
      </c>
      <c r="M66" s="45">
        <f>+IFERROR((N66)^(1/(J$61-$E$61))-1,0)</f>
        <v>0.12793341149371673</v>
      </c>
      <c r="N66" s="46">
        <f>+IFERROR(-SUM(F66:J66)/E66,0)</f>
        <v>1.8256490996659047</v>
      </c>
    </row>
    <row r="67" spans="1:15" x14ac:dyDescent="0.2">
      <c r="D67" s="54">
        <f>+K61</f>
        <v>2031</v>
      </c>
      <c r="E67" s="35">
        <f t="shared" si="10"/>
        <v>-61052.875001312001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f>+K$56</f>
        <v>125245.39555331692</v>
      </c>
      <c r="L67" s="35">
        <v>0</v>
      </c>
      <c r="M67" s="45">
        <f>+IFERROR((N67)^(1/(K$61-$E$61))-1,0)</f>
        <v>0.12722152890074323</v>
      </c>
      <c r="N67" s="46">
        <f>+IFERROR(-SUM(F67:K67)/E67,0)</f>
        <v>2.0514250238113347</v>
      </c>
    </row>
    <row r="68" spans="1:15" x14ac:dyDescent="0.2">
      <c r="D68" s="54">
        <f>+L61</f>
        <v>2032</v>
      </c>
      <c r="E68" s="35">
        <f t="shared" si="10"/>
        <v>-61052.875001312001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f>+L$56</f>
        <v>140283.74297282795</v>
      </c>
      <c r="M68" s="45">
        <f>+IFERROR((N68)^(1/(L$61-$E$61))-1,0)</f>
        <v>0.12619724534821564</v>
      </c>
      <c r="N68" s="46">
        <f>+IFERROR(-SUM(F68:L68)/E68,0)</f>
        <v>2.2977418011815711</v>
      </c>
    </row>
    <row r="69" spans="1:15" x14ac:dyDescent="0.2">
      <c r="D69" s="55" t="str">
        <f>"Active Selected Exit Cash Flows @ "&amp;L10&amp;"E"</f>
        <v>Active Selected Exit Cash Flows @ 2032E</v>
      </c>
      <c r="E69" s="56">
        <f t="shared" ref="E69:N69" si="11">+INDEX(E62:E68,MATCH($L$10,$D$62:$D$68,0))</f>
        <v>-61052.875001312001</v>
      </c>
      <c r="F69" s="56">
        <f t="shared" si="11"/>
        <v>0</v>
      </c>
      <c r="G69" s="56">
        <f t="shared" si="11"/>
        <v>0</v>
      </c>
      <c r="H69" s="56">
        <f t="shared" si="11"/>
        <v>0</v>
      </c>
      <c r="I69" s="56">
        <f t="shared" si="11"/>
        <v>0</v>
      </c>
      <c r="J69" s="56">
        <f t="shared" si="11"/>
        <v>0</v>
      </c>
      <c r="K69" s="56">
        <f t="shared" si="11"/>
        <v>0</v>
      </c>
      <c r="L69" s="56">
        <f t="shared" si="11"/>
        <v>140283.74297282795</v>
      </c>
      <c r="M69" s="57">
        <f t="shared" si="11"/>
        <v>0.12619724534821564</v>
      </c>
      <c r="N69" s="58">
        <f t="shared" si="11"/>
        <v>2.2977418011815711</v>
      </c>
    </row>
    <row r="70" spans="1:15" x14ac:dyDescent="0.2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</row>
    <row r="71" spans="1:15" ht="16.05" customHeight="1" x14ac:dyDescent="0.2">
      <c r="A71" s="121" t="s">
        <v>4</v>
      </c>
      <c r="B71" s="121" t="s">
        <v>4</v>
      </c>
      <c r="C71" s="122" t="s">
        <v>207</v>
      </c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0"/>
    </row>
    <row r="72" spans="1:15" x14ac:dyDescent="0.2">
      <c r="A72" s="120"/>
      <c r="B72" s="120"/>
      <c r="C72" s="120"/>
      <c r="D72" s="113" t="s">
        <v>208</v>
      </c>
      <c r="E72" s="123">
        <f t="shared" ref="E72:L72" si="12">+E48</f>
        <v>2025</v>
      </c>
      <c r="F72" s="124">
        <f t="shared" si="12"/>
        <v>2026</v>
      </c>
      <c r="G72" s="124">
        <f t="shared" si="12"/>
        <v>2027</v>
      </c>
      <c r="H72" s="124">
        <f t="shared" si="12"/>
        <v>2028</v>
      </c>
      <c r="I72" s="124">
        <f t="shared" si="12"/>
        <v>2029</v>
      </c>
      <c r="J72" s="124">
        <f t="shared" si="12"/>
        <v>2030</v>
      </c>
      <c r="K72" s="124">
        <f t="shared" si="12"/>
        <v>2031</v>
      </c>
      <c r="L72" s="124">
        <f t="shared" si="12"/>
        <v>2032</v>
      </c>
      <c r="M72" s="120"/>
      <c r="N72" s="120"/>
      <c r="O72" s="120"/>
    </row>
    <row r="73" spans="1:15" x14ac:dyDescent="0.2">
      <c r="A73" s="120"/>
      <c r="B73" s="125">
        <v>4</v>
      </c>
      <c r="C73" s="120"/>
      <c r="D73" s="126" t="s">
        <v>209</v>
      </c>
      <c r="E73" s="127">
        <f t="shared" ref="E73:L73" si="13">+E56</f>
        <v>58842.370695855716</v>
      </c>
      <c r="F73" s="127">
        <f t="shared" si="13"/>
        <v>67300.486349011291</v>
      </c>
      <c r="G73" s="127">
        <f t="shared" si="13"/>
        <v>76850.621461390634</v>
      </c>
      <c r="H73" s="128">
        <f t="shared" si="13"/>
        <v>87348.086555231712</v>
      </c>
      <c r="I73" s="127">
        <f t="shared" si="13"/>
        <v>98853.699065997091</v>
      </c>
      <c r="J73" s="127">
        <f t="shared" si="13"/>
        <v>111461.12627816027</v>
      </c>
      <c r="K73" s="127">
        <f t="shared" si="13"/>
        <v>125245.39555331692</v>
      </c>
      <c r="L73" s="128">
        <f t="shared" si="13"/>
        <v>140283.74297282795</v>
      </c>
      <c r="M73" s="120"/>
      <c r="N73" s="120"/>
      <c r="O73" s="120"/>
    </row>
    <row r="74" spans="1:15" x14ac:dyDescent="0.2">
      <c r="A74" s="120"/>
      <c r="B74" s="120"/>
      <c r="C74" s="120"/>
      <c r="D74" s="129" t="s">
        <v>210</v>
      </c>
      <c r="E74" s="130">
        <f t="shared" ref="E74:L74" si="14">+E73*$L$44</f>
        <v>14710.592673963929</v>
      </c>
      <c r="F74" s="130">
        <f t="shared" si="14"/>
        <v>16825.121587252823</v>
      </c>
      <c r="G74" s="130">
        <f t="shared" si="14"/>
        <v>19212.655365347659</v>
      </c>
      <c r="H74" s="130">
        <f t="shared" si="14"/>
        <v>21837.021638807928</v>
      </c>
      <c r="I74" s="130">
        <f t="shared" si="14"/>
        <v>24713.424766499273</v>
      </c>
      <c r="J74" s="130">
        <f t="shared" si="14"/>
        <v>27865.281569540068</v>
      </c>
      <c r="K74" s="130">
        <f t="shared" si="14"/>
        <v>31311.34888832923</v>
      </c>
      <c r="L74" s="130">
        <f t="shared" si="14"/>
        <v>35070.935743206988</v>
      </c>
      <c r="M74" s="120"/>
      <c r="N74" s="120"/>
      <c r="O74" s="120"/>
    </row>
    <row r="75" spans="1:15" x14ac:dyDescent="0.2">
      <c r="A75" s="120"/>
      <c r="B75" s="120"/>
      <c r="C75" s="120"/>
      <c r="D75" s="104" t="s">
        <v>211</v>
      </c>
      <c r="E75" s="131">
        <f t="shared" ref="E75:L75" si="15">+E73*$L$43</f>
        <v>44131.778021891791</v>
      </c>
      <c r="F75" s="131">
        <f t="shared" si="15"/>
        <v>50475.364761758465</v>
      </c>
      <c r="G75" s="131">
        <f t="shared" si="15"/>
        <v>57637.966096042976</v>
      </c>
      <c r="H75" s="131">
        <f t="shared" si="15"/>
        <v>65511.064916423784</v>
      </c>
      <c r="I75" s="131">
        <f t="shared" si="15"/>
        <v>74140.274299497818</v>
      </c>
      <c r="J75" s="131">
        <f t="shared" si="15"/>
        <v>83595.844708620207</v>
      </c>
      <c r="K75" s="131">
        <f t="shared" si="15"/>
        <v>93934.046664987691</v>
      </c>
      <c r="L75" s="131">
        <f t="shared" si="15"/>
        <v>105212.80722962096</v>
      </c>
      <c r="M75" s="120"/>
      <c r="N75" s="120"/>
      <c r="O75" s="120"/>
    </row>
    <row r="76" spans="1:15" x14ac:dyDescent="0.2">
      <c r="A76" s="120"/>
      <c r="B76" s="120"/>
      <c r="C76" s="120"/>
      <c r="D76" s="129" t="s">
        <v>212</v>
      </c>
      <c r="E76" s="130">
        <f t="shared" ref="E76:L76" si="16">+MIN(E75,$J$43)</f>
        <v>44131.778021891791</v>
      </c>
      <c r="F76" s="130">
        <f t="shared" si="16"/>
        <v>45789.656250984001</v>
      </c>
      <c r="G76" s="130">
        <f t="shared" si="16"/>
        <v>45789.656250984001</v>
      </c>
      <c r="H76" s="130">
        <f t="shared" si="16"/>
        <v>45789.656250984001</v>
      </c>
      <c r="I76" s="130">
        <f t="shared" si="16"/>
        <v>45789.656250984001</v>
      </c>
      <c r="J76" s="130">
        <f t="shared" si="16"/>
        <v>45789.656250984001</v>
      </c>
      <c r="K76" s="130">
        <f t="shared" si="16"/>
        <v>45789.656250984001</v>
      </c>
      <c r="L76" s="130">
        <f t="shared" si="16"/>
        <v>45789.656250984001</v>
      </c>
      <c r="M76" s="120"/>
      <c r="N76" s="120"/>
      <c r="O76" s="120"/>
    </row>
    <row r="77" spans="1:15" x14ac:dyDescent="0.2">
      <c r="A77" s="120"/>
      <c r="B77" s="120"/>
      <c r="C77" s="120"/>
      <c r="D77" s="110" t="s">
        <v>213</v>
      </c>
      <c r="E77" s="132">
        <v>0</v>
      </c>
      <c r="F77" s="132">
        <f t="shared" ref="F77:L77" si="17">+$J$43*((1+$L$45)^(F$72-$E$72)-1)</f>
        <v>4578.9656250984044</v>
      </c>
      <c r="G77" s="132">
        <f t="shared" si="17"/>
        <v>9615.8278127066478</v>
      </c>
      <c r="H77" s="132">
        <f t="shared" si="17"/>
        <v>15156.376219075722</v>
      </c>
      <c r="I77" s="132">
        <f t="shared" si="17"/>
        <v>21250.979466081691</v>
      </c>
      <c r="J77" s="132">
        <f t="shared" si="17"/>
        <v>27955.043037788266</v>
      </c>
      <c r="K77" s="132">
        <f t="shared" si="17"/>
        <v>35329.512966665505</v>
      </c>
      <c r="L77" s="132">
        <f t="shared" si="17"/>
        <v>43441.429888430466</v>
      </c>
      <c r="M77" s="120"/>
      <c r="N77" s="120"/>
      <c r="O77" s="120"/>
    </row>
    <row r="78" spans="1:15" x14ac:dyDescent="0.2">
      <c r="A78" s="120"/>
      <c r="B78" s="120"/>
      <c r="C78" s="120"/>
      <c r="D78" s="103" t="s">
        <v>214</v>
      </c>
      <c r="E78" s="130">
        <v>0</v>
      </c>
      <c r="F78" s="130">
        <f t="shared" ref="F78:L78" si="18">+MIN(MAX(0,F75-F76),F77)</f>
        <v>4578.9656250984044</v>
      </c>
      <c r="G78" s="130">
        <f t="shared" si="18"/>
        <v>9615.8278127066478</v>
      </c>
      <c r="H78" s="130">
        <f t="shared" si="18"/>
        <v>15156.376219075722</v>
      </c>
      <c r="I78" s="130">
        <f t="shared" si="18"/>
        <v>21250.979466081691</v>
      </c>
      <c r="J78" s="130">
        <f t="shared" si="18"/>
        <v>27955.043037788266</v>
      </c>
      <c r="K78" s="130">
        <f t="shared" si="18"/>
        <v>35329.512966665505</v>
      </c>
      <c r="L78" s="130">
        <f t="shared" si="18"/>
        <v>43441.429888430466</v>
      </c>
      <c r="M78" s="120"/>
      <c r="N78" s="120"/>
      <c r="O78" s="120"/>
    </row>
    <row r="79" spans="1:15" x14ac:dyDescent="0.2">
      <c r="A79" s="120"/>
      <c r="B79" s="120"/>
      <c r="C79" s="120"/>
      <c r="D79" s="103" t="s">
        <v>215</v>
      </c>
      <c r="E79" s="130">
        <v>0</v>
      </c>
      <c r="F79" s="130">
        <f t="shared" ref="F79:L79" si="19">+MIN(MAX(0,F75-F76-F78),F78*($L$46/(1-$L$46))*$J$45)</f>
        <v>106.74288567605981</v>
      </c>
      <c r="G79" s="130">
        <f t="shared" si="19"/>
        <v>2232.4820323523272</v>
      </c>
      <c r="H79" s="130">
        <f t="shared" si="19"/>
        <v>3789.0940547689306</v>
      </c>
      <c r="I79" s="130">
        <f t="shared" si="19"/>
        <v>5312.7448665204229</v>
      </c>
      <c r="J79" s="130">
        <f t="shared" si="19"/>
        <v>6988.7607594470664</v>
      </c>
      <c r="K79" s="130">
        <f t="shared" si="19"/>
        <v>8832.3782416663762</v>
      </c>
      <c r="L79" s="130">
        <f t="shared" si="19"/>
        <v>10860.357472107617</v>
      </c>
      <c r="M79" s="120"/>
      <c r="N79" s="120"/>
      <c r="O79" s="120"/>
    </row>
    <row r="80" spans="1:15" x14ac:dyDescent="0.2">
      <c r="A80" s="120"/>
      <c r="B80" s="120"/>
      <c r="C80" s="120"/>
      <c r="D80" s="103" t="s">
        <v>216</v>
      </c>
      <c r="E80" s="130">
        <v>0</v>
      </c>
      <c r="F80" s="130">
        <f t="shared" ref="F80:L80" si="20">+MAX(0,F75-F76-F78-F79)*(1-$L$46)</f>
        <v>0</v>
      </c>
      <c r="G80" s="130">
        <f t="shared" si="20"/>
        <v>0</v>
      </c>
      <c r="H80" s="130">
        <f t="shared" si="20"/>
        <v>620.75071327610431</v>
      </c>
      <c r="I80" s="130">
        <f t="shared" si="20"/>
        <v>1429.5149727293626</v>
      </c>
      <c r="J80" s="130">
        <f t="shared" si="20"/>
        <v>2289.9077283206993</v>
      </c>
      <c r="K80" s="130">
        <f t="shared" si="20"/>
        <v>3185.9993645374475</v>
      </c>
      <c r="L80" s="130">
        <f t="shared" si="20"/>
        <v>4097.0908944790999</v>
      </c>
      <c r="M80" s="120"/>
      <c r="N80" s="120"/>
      <c r="O80" s="120"/>
    </row>
    <row r="81" spans="1:15" x14ac:dyDescent="0.2">
      <c r="A81" s="120"/>
      <c r="B81" s="120"/>
      <c r="C81" s="120"/>
      <c r="D81" s="103" t="s">
        <v>217</v>
      </c>
      <c r="E81" s="130">
        <v>0</v>
      </c>
      <c r="F81" s="130">
        <f t="shared" ref="F81:L81" si="21">+MAX(0,F75-F76-F78-F79)*$L$46</f>
        <v>0</v>
      </c>
      <c r="G81" s="130">
        <f t="shared" si="21"/>
        <v>0</v>
      </c>
      <c r="H81" s="130">
        <f t="shared" si="21"/>
        <v>155.18767831902608</v>
      </c>
      <c r="I81" s="130">
        <f t="shared" si="21"/>
        <v>357.37874318234066</v>
      </c>
      <c r="J81" s="130">
        <f t="shared" si="21"/>
        <v>572.47693208017483</v>
      </c>
      <c r="K81" s="130">
        <f t="shared" si="21"/>
        <v>796.49984113436187</v>
      </c>
      <c r="L81" s="130">
        <f t="shared" si="21"/>
        <v>1024.272723619775</v>
      </c>
      <c r="M81" s="120"/>
      <c r="N81" s="120"/>
      <c r="O81" s="120"/>
    </row>
    <row r="82" spans="1:15" x14ac:dyDescent="0.2">
      <c r="A82" s="120"/>
      <c r="B82" s="120"/>
      <c r="C82" s="120"/>
      <c r="D82" s="126" t="s">
        <v>218</v>
      </c>
      <c r="E82" s="128">
        <f t="shared" ref="E82:L82" si="22">+E76+E78+E80</f>
        <v>44131.778021891791</v>
      </c>
      <c r="F82" s="128">
        <f t="shared" si="22"/>
        <v>50368.621876082405</v>
      </c>
      <c r="G82" s="128">
        <f t="shared" si="22"/>
        <v>55405.484063690645</v>
      </c>
      <c r="H82" s="128">
        <f t="shared" si="22"/>
        <v>61566.783183335829</v>
      </c>
      <c r="I82" s="128">
        <f t="shared" si="22"/>
        <v>68470.150689795046</v>
      </c>
      <c r="J82" s="128">
        <f t="shared" si="22"/>
        <v>76034.607017092974</v>
      </c>
      <c r="K82" s="128">
        <f t="shared" si="22"/>
        <v>84305.168582186947</v>
      </c>
      <c r="L82" s="128">
        <f t="shared" si="22"/>
        <v>93328.17703389356</v>
      </c>
      <c r="M82" s="120"/>
      <c r="N82" s="120"/>
      <c r="O82" s="120"/>
    </row>
    <row r="83" spans="1:15" x14ac:dyDescent="0.2">
      <c r="A83" s="120"/>
      <c r="B83" s="120"/>
      <c r="C83" s="120"/>
      <c r="D83" s="126" t="s">
        <v>219</v>
      </c>
      <c r="E83" s="128">
        <f t="shared" ref="E83:L83" si="23">+E79+E81</f>
        <v>0</v>
      </c>
      <c r="F83" s="128">
        <f t="shared" si="23"/>
        <v>106.74288567605981</v>
      </c>
      <c r="G83" s="128">
        <f t="shared" si="23"/>
        <v>2232.4820323523272</v>
      </c>
      <c r="H83" s="128">
        <f t="shared" si="23"/>
        <v>3944.2817330879566</v>
      </c>
      <c r="I83" s="128">
        <f t="shared" si="23"/>
        <v>5670.1236097027631</v>
      </c>
      <c r="J83" s="128">
        <f t="shared" si="23"/>
        <v>7561.2376915272416</v>
      </c>
      <c r="K83" s="128">
        <f t="shared" si="23"/>
        <v>9628.8780828007384</v>
      </c>
      <c r="L83" s="128">
        <f t="shared" si="23"/>
        <v>11884.630195727392</v>
      </c>
      <c r="M83" s="120"/>
      <c r="N83" s="120"/>
      <c r="O83" s="120"/>
    </row>
    <row r="84" spans="1:15" x14ac:dyDescent="0.2">
      <c r="A84" s="120"/>
      <c r="B84" s="120"/>
      <c r="C84" s="120"/>
      <c r="D84" s="117" t="s">
        <v>220</v>
      </c>
      <c r="E84" s="118">
        <f t="shared" ref="E84:L84" si="24">+E74+E83</f>
        <v>14710.592673963929</v>
      </c>
      <c r="F84" s="118">
        <f t="shared" si="24"/>
        <v>16931.864472928883</v>
      </c>
      <c r="G84" s="118">
        <f t="shared" si="24"/>
        <v>21445.137397699986</v>
      </c>
      <c r="H84" s="118">
        <f t="shared" si="24"/>
        <v>25781.303371895883</v>
      </c>
      <c r="I84" s="118">
        <f t="shared" si="24"/>
        <v>30383.548376202038</v>
      </c>
      <c r="J84" s="118">
        <f t="shared" si="24"/>
        <v>35426.519261067311</v>
      </c>
      <c r="K84" s="118">
        <f t="shared" si="24"/>
        <v>40940.226971129967</v>
      </c>
      <c r="L84" s="118">
        <f t="shared" si="24"/>
        <v>46955.565938934378</v>
      </c>
      <c r="M84" s="120"/>
      <c r="N84" s="120"/>
      <c r="O84" s="120"/>
    </row>
    <row r="85" spans="1:15" x14ac:dyDescent="0.2">
      <c r="A85" s="120"/>
      <c r="B85" s="120"/>
      <c r="C85" s="120"/>
      <c r="D85" s="110" t="s">
        <v>221</v>
      </c>
      <c r="E85" s="120"/>
      <c r="F85" s="133">
        <f t="shared" ref="F85:L85" si="25">+IFERROR((F82/$J$43)^(1/(F$72-$E$72))-1,0)</f>
        <v>0.10000000000000009</v>
      </c>
      <c r="G85" s="133">
        <f t="shared" si="25"/>
        <v>0.10000000000000009</v>
      </c>
      <c r="H85" s="133">
        <f t="shared" si="25"/>
        <v>0.10372198449143655</v>
      </c>
      <c r="I85" s="133">
        <f t="shared" si="25"/>
        <v>0.1058175421892853</v>
      </c>
      <c r="J85" s="133">
        <f t="shared" si="25"/>
        <v>0.10674809847592837</v>
      </c>
      <c r="K85" s="133">
        <f t="shared" si="25"/>
        <v>0.1070854328802433</v>
      </c>
      <c r="L85" s="133">
        <f t="shared" si="25"/>
        <v>0.10707721930513125</v>
      </c>
      <c r="M85" s="120"/>
      <c r="N85" s="120"/>
      <c r="O85" s="120"/>
    </row>
    <row r="86" spans="1:15" x14ac:dyDescent="0.2">
      <c r="A86" s="120"/>
      <c r="B86" s="120"/>
      <c r="C86" s="120"/>
      <c r="D86" s="110" t="s">
        <v>222</v>
      </c>
      <c r="E86" s="120"/>
      <c r="F86" s="134">
        <f t="shared" ref="F86:L86" si="26">+IFERROR(F82/$J$43,0)</f>
        <v>1.1000000000000001</v>
      </c>
      <c r="G86" s="134">
        <f t="shared" si="26"/>
        <v>1.2100000000000002</v>
      </c>
      <c r="H86" s="134">
        <f t="shared" si="26"/>
        <v>1.3445565707214233</v>
      </c>
      <c r="I86" s="134">
        <f t="shared" si="26"/>
        <v>1.4953191680342359</v>
      </c>
      <c r="J86" s="134">
        <f t="shared" si="26"/>
        <v>1.660519279732724</v>
      </c>
      <c r="K86" s="134">
        <f t="shared" si="26"/>
        <v>1.8411400190490677</v>
      </c>
      <c r="L86" s="134">
        <f t="shared" si="26"/>
        <v>2.0381934409452565</v>
      </c>
      <c r="M86" s="120"/>
      <c r="N86" s="120"/>
      <c r="O86" s="120"/>
    </row>
    <row r="87" spans="1:15" x14ac:dyDescent="0.2">
      <c r="A87" s="120"/>
      <c r="B87" s="120"/>
      <c r="C87" s="120"/>
      <c r="D87" s="135" t="s">
        <v>223</v>
      </c>
      <c r="E87" s="135"/>
      <c r="F87" s="136">
        <f>+M90</f>
        <v>0.1093246286970122</v>
      </c>
      <c r="G87" s="136">
        <f>+M91</f>
        <v>0.18533566611032026</v>
      </c>
      <c r="H87" s="136">
        <f>+M92</f>
        <v>0.19093003147997334</v>
      </c>
      <c r="I87" s="136">
        <f>+M93</f>
        <v>0.18781304591521009</v>
      </c>
      <c r="J87" s="136">
        <f>+M94</f>
        <v>0.18341336874421876</v>
      </c>
      <c r="K87" s="136">
        <f>+M95</f>
        <v>0.17873818574704181</v>
      </c>
      <c r="L87" s="136">
        <f>+M96</f>
        <v>0.17414068184459208</v>
      </c>
      <c r="M87" s="120"/>
      <c r="N87" s="120"/>
      <c r="O87" s="120"/>
    </row>
    <row r="88" spans="1:15" x14ac:dyDescent="0.2">
      <c r="A88" s="120"/>
      <c r="B88" s="120"/>
      <c r="C88" s="120"/>
      <c r="D88" s="137" t="s">
        <v>224</v>
      </c>
      <c r="E88" s="137"/>
      <c r="F88" s="138">
        <f>+N90</f>
        <v>1.1093246286970122</v>
      </c>
      <c r="G88" s="138">
        <f>+N91</f>
        <v>1.4050206413531967</v>
      </c>
      <c r="H88" s="138">
        <f>+N92</f>
        <v>1.6891131414428464</v>
      </c>
      <c r="I88" s="138">
        <f>+N93</f>
        <v>1.9906383360684723</v>
      </c>
      <c r="J88" s="138">
        <f>+N94</f>
        <v>2.3210385594654475</v>
      </c>
      <c r="K88" s="138">
        <f>+N95</f>
        <v>2.6822800380981358</v>
      </c>
      <c r="L88" s="138">
        <f>+N96</f>
        <v>3.0763868818905138</v>
      </c>
      <c r="M88" s="120"/>
      <c r="N88" s="120"/>
      <c r="O88" s="120"/>
    </row>
    <row r="89" spans="1:15" x14ac:dyDescent="0.2">
      <c r="A89" s="120"/>
      <c r="B89" s="120"/>
      <c r="C89" s="120"/>
      <c r="D89" s="113" t="s">
        <v>225</v>
      </c>
      <c r="E89" s="123">
        <f t="shared" ref="E89:L89" si="27">+E72</f>
        <v>2025</v>
      </c>
      <c r="F89" s="124">
        <f t="shared" si="27"/>
        <v>2026</v>
      </c>
      <c r="G89" s="124">
        <f t="shared" si="27"/>
        <v>2027</v>
      </c>
      <c r="H89" s="124">
        <f t="shared" si="27"/>
        <v>2028</v>
      </c>
      <c r="I89" s="124">
        <f t="shared" si="27"/>
        <v>2029</v>
      </c>
      <c r="J89" s="124">
        <f t="shared" si="27"/>
        <v>2030</v>
      </c>
      <c r="K89" s="124">
        <f t="shared" si="27"/>
        <v>2031</v>
      </c>
      <c r="L89" s="124">
        <f t="shared" si="27"/>
        <v>2032</v>
      </c>
      <c r="M89" s="114" t="s">
        <v>226</v>
      </c>
      <c r="N89" s="114" t="s">
        <v>227</v>
      </c>
      <c r="O89" s="120"/>
    </row>
    <row r="90" spans="1:15" x14ac:dyDescent="0.2">
      <c r="A90" s="120"/>
      <c r="B90" s="120"/>
      <c r="C90" s="120"/>
      <c r="D90" s="139">
        <f>+F89</f>
        <v>2026</v>
      </c>
      <c r="E90" s="130">
        <f t="shared" ref="E90:E96" si="28">-$J$44</f>
        <v>-15263.218750328</v>
      </c>
      <c r="F90" s="130">
        <f>+F$84</f>
        <v>16931.864472928883</v>
      </c>
      <c r="G90" s="130">
        <v>0</v>
      </c>
      <c r="H90" s="130">
        <v>0</v>
      </c>
      <c r="I90" s="130">
        <v>0</v>
      </c>
      <c r="J90" s="130">
        <v>0</v>
      </c>
      <c r="K90" s="130">
        <v>0</v>
      </c>
      <c r="L90" s="130">
        <v>0</v>
      </c>
      <c r="M90" s="140">
        <f>+IFERROR((N90)^(1/(F$89-$E$89))-1,0)</f>
        <v>0.1093246286970122</v>
      </c>
      <c r="N90" s="141">
        <f>+IFERROR(-SUM(F90:F90)/E90,0)</f>
        <v>1.1093246286970122</v>
      </c>
      <c r="O90" s="120"/>
    </row>
    <row r="91" spans="1:15" x14ac:dyDescent="0.2">
      <c r="A91" s="120"/>
      <c r="B91" s="120"/>
      <c r="C91" s="120"/>
      <c r="D91" s="139">
        <f>+G89</f>
        <v>2027</v>
      </c>
      <c r="E91" s="130">
        <f t="shared" si="28"/>
        <v>-15263.218750328</v>
      </c>
      <c r="F91" s="130">
        <v>0</v>
      </c>
      <c r="G91" s="130">
        <f>+G$84</f>
        <v>21445.137397699986</v>
      </c>
      <c r="H91" s="130">
        <v>0</v>
      </c>
      <c r="I91" s="130">
        <v>0</v>
      </c>
      <c r="J91" s="130">
        <v>0</v>
      </c>
      <c r="K91" s="130">
        <v>0</v>
      </c>
      <c r="L91" s="130">
        <v>0</v>
      </c>
      <c r="M91" s="140">
        <f>+IFERROR((N91)^(1/(G$89-$E$89))-1,0)</f>
        <v>0.18533566611032026</v>
      </c>
      <c r="N91" s="141">
        <f>+IFERROR(-SUM(F91:G91)/E91,0)</f>
        <v>1.4050206413531967</v>
      </c>
      <c r="O91" s="120"/>
    </row>
    <row r="92" spans="1:15" x14ac:dyDescent="0.2">
      <c r="A92" s="120"/>
      <c r="B92" s="120"/>
      <c r="C92" s="120"/>
      <c r="D92" s="139">
        <f>+H89</f>
        <v>2028</v>
      </c>
      <c r="E92" s="130">
        <f t="shared" si="28"/>
        <v>-15263.218750328</v>
      </c>
      <c r="F92" s="130">
        <v>0</v>
      </c>
      <c r="G92" s="130">
        <v>0</v>
      </c>
      <c r="H92" s="130">
        <f>+H$84</f>
        <v>25781.303371895883</v>
      </c>
      <c r="I92" s="130">
        <v>0</v>
      </c>
      <c r="J92" s="130">
        <v>0</v>
      </c>
      <c r="K92" s="130">
        <v>0</v>
      </c>
      <c r="L92" s="130">
        <v>0</v>
      </c>
      <c r="M92" s="140">
        <f>+IFERROR((N92)^(1/(H$89-$E$89))-1,0)</f>
        <v>0.19093003147997334</v>
      </c>
      <c r="N92" s="141">
        <f>+IFERROR(-SUM(F92:H92)/E92,0)</f>
        <v>1.6891131414428464</v>
      </c>
      <c r="O92" s="120"/>
    </row>
    <row r="93" spans="1:15" x14ac:dyDescent="0.2">
      <c r="A93" s="120"/>
      <c r="B93" s="120"/>
      <c r="C93" s="120"/>
      <c r="D93" s="139">
        <f>+I89</f>
        <v>2029</v>
      </c>
      <c r="E93" s="130">
        <f t="shared" si="28"/>
        <v>-15263.218750328</v>
      </c>
      <c r="F93" s="130">
        <v>0</v>
      </c>
      <c r="G93" s="130">
        <v>0</v>
      </c>
      <c r="H93" s="130">
        <v>0</v>
      </c>
      <c r="I93" s="130">
        <f>+I$84</f>
        <v>30383.548376202038</v>
      </c>
      <c r="J93" s="130">
        <v>0</v>
      </c>
      <c r="K93" s="130">
        <v>0</v>
      </c>
      <c r="L93" s="130">
        <v>0</v>
      </c>
      <c r="M93" s="140">
        <f>+IFERROR((N93)^(1/(I$89-$E$89))-1,0)</f>
        <v>0.18781304591521009</v>
      </c>
      <c r="N93" s="141">
        <f>+IFERROR(-SUM(F93:I93)/E93,0)</f>
        <v>1.9906383360684723</v>
      </c>
      <c r="O93" s="120"/>
    </row>
    <row r="94" spans="1:15" x14ac:dyDescent="0.2">
      <c r="A94" s="120"/>
      <c r="B94" s="120"/>
      <c r="C94" s="120"/>
      <c r="D94" s="139">
        <f>+J89</f>
        <v>2030</v>
      </c>
      <c r="E94" s="130">
        <f t="shared" si="28"/>
        <v>-15263.218750328</v>
      </c>
      <c r="F94" s="130">
        <v>0</v>
      </c>
      <c r="G94" s="130">
        <v>0</v>
      </c>
      <c r="H94" s="130">
        <v>0</v>
      </c>
      <c r="I94" s="130">
        <v>0</v>
      </c>
      <c r="J94" s="130">
        <f>+J$84</f>
        <v>35426.519261067311</v>
      </c>
      <c r="K94" s="130">
        <v>0</v>
      </c>
      <c r="L94" s="130">
        <v>0</v>
      </c>
      <c r="M94" s="140">
        <f>+IFERROR((N94)^(1/(J$89-$E$89))-1,0)</f>
        <v>0.18341336874421876</v>
      </c>
      <c r="N94" s="141">
        <f>+IFERROR(-SUM(F94:J94)/E94,0)</f>
        <v>2.3210385594654475</v>
      </c>
      <c r="O94" s="120"/>
    </row>
    <row r="95" spans="1:15" x14ac:dyDescent="0.2">
      <c r="A95" s="120"/>
      <c r="B95" s="120"/>
      <c r="C95" s="120"/>
      <c r="D95" s="139">
        <f>+K89</f>
        <v>2031</v>
      </c>
      <c r="E95" s="130">
        <f t="shared" si="28"/>
        <v>-15263.218750328</v>
      </c>
      <c r="F95" s="130">
        <v>0</v>
      </c>
      <c r="G95" s="130">
        <v>0</v>
      </c>
      <c r="H95" s="130">
        <v>0</v>
      </c>
      <c r="I95" s="130">
        <v>0</v>
      </c>
      <c r="J95" s="130">
        <v>0</v>
      </c>
      <c r="K95" s="130">
        <f>+K$84</f>
        <v>40940.226971129967</v>
      </c>
      <c r="L95" s="130">
        <v>0</v>
      </c>
      <c r="M95" s="140">
        <f>+IFERROR((N95)^(1/(K$89-$E$89))-1,0)</f>
        <v>0.17873818574704181</v>
      </c>
      <c r="N95" s="141">
        <f>+IFERROR(-SUM(F95:K95)/E95,0)</f>
        <v>2.6822800380981358</v>
      </c>
      <c r="O95" s="120"/>
    </row>
    <row r="96" spans="1:15" x14ac:dyDescent="0.2">
      <c r="A96" s="120"/>
      <c r="B96" s="120"/>
      <c r="C96" s="120"/>
      <c r="D96" s="139">
        <f>+L89</f>
        <v>2032</v>
      </c>
      <c r="E96" s="130">
        <f t="shared" si="28"/>
        <v>-15263.218750328</v>
      </c>
      <c r="F96" s="130">
        <v>0</v>
      </c>
      <c r="G96" s="130">
        <v>0</v>
      </c>
      <c r="H96" s="130">
        <v>0</v>
      </c>
      <c r="I96" s="130">
        <v>0</v>
      </c>
      <c r="J96" s="130">
        <v>0</v>
      </c>
      <c r="K96" s="130">
        <v>0</v>
      </c>
      <c r="L96" s="130">
        <f>+L$84</f>
        <v>46955.565938934378</v>
      </c>
      <c r="M96" s="140">
        <f>+IFERROR((N96)^(1/(L$89-$E$89))-1,0)</f>
        <v>0.17414068184459208</v>
      </c>
      <c r="N96" s="141">
        <f>+IFERROR(-SUM(F96:L96)/E96,0)</f>
        <v>3.0763868818905138</v>
      </c>
      <c r="O96" s="120"/>
    </row>
    <row r="97" spans="1:15" x14ac:dyDescent="0.2">
      <c r="A97" s="120"/>
      <c r="B97" s="120"/>
      <c r="C97" s="120"/>
      <c r="D97" s="137" t="str">
        <f>"Active Selected Exit Lead GP Cash Flows @ "&amp;L10&amp;"E"</f>
        <v>Active Selected Exit Lead GP Cash Flows @ 2032E</v>
      </c>
      <c r="E97" s="142">
        <f t="shared" ref="E97:N97" si="29">+INDEX(E90:E96,MATCH($L$10,$D$90:$D$96,0))</f>
        <v>-15263.218750328</v>
      </c>
      <c r="F97" s="142">
        <f t="shared" si="29"/>
        <v>0</v>
      </c>
      <c r="G97" s="142">
        <f t="shared" si="29"/>
        <v>0</v>
      </c>
      <c r="H97" s="142">
        <f t="shared" si="29"/>
        <v>0</v>
      </c>
      <c r="I97" s="142">
        <f t="shared" si="29"/>
        <v>0</v>
      </c>
      <c r="J97" s="142">
        <f t="shared" si="29"/>
        <v>0</v>
      </c>
      <c r="K97" s="142">
        <f t="shared" si="29"/>
        <v>0</v>
      </c>
      <c r="L97" s="142">
        <f t="shared" si="29"/>
        <v>46955.565938934378</v>
      </c>
      <c r="M97" s="143">
        <f t="shared" si="29"/>
        <v>0.17414068184459208</v>
      </c>
      <c r="N97" s="138">
        <f t="shared" si="29"/>
        <v>3.0763868818905138</v>
      </c>
      <c r="O97" s="120"/>
    </row>
    <row r="98" spans="1:15" x14ac:dyDescent="0.2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</row>
    <row r="99" spans="1:15" ht="16.05" customHeight="1" x14ac:dyDescent="0.2">
      <c r="A99" s="121" t="s">
        <v>4</v>
      </c>
      <c r="B99" s="121" t="s">
        <v>4</v>
      </c>
      <c r="C99" s="122" t="s">
        <v>228</v>
      </c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0"/>
    </row>
    <row r="100" spans="1:15" x14ac:dyDescent="0.2">
      <c r="A100" s="120"/>
      <c r="B100" s="120"/>
      <c r="C100" s="120"/>
      <c r="D100" s="144" t="s">
        <v>229</v>
      </c>
      <c r="E100" s="145">
        <v>17.5</v>
      </c>
      <c r="F100" s="145">
        <f>+$L$11</f>
        <v>19.346319972522</v>
      </c>
      <c r="G100" s="145">
        <v>21</v>
      </c>
      <c r="H100" s="120"/>
      <c r="I100" s="146">
        <f>+E100</f>
        <v>17.5</v>
      </c>
      <c r="J100" s="146">
        <f>+F100</f>
        <v>19.346319972522</v>
      </c>
      <c r="K100" s="146">
        <f>+G100</f>
        <v>21</v>
      </c>
      <c r="L100" s="120"/>
      <c r="M100" s="120"/>
      <c r="N100" s="120"/>
      <c r="O100" s="120"/>
    </row>
    <row r="101" spans="1:15" x14ac:dyDescent="0.2">
      <c r="A101" s="120"/>
      <c r="B101" s="120"/>
      <c r="C101" s="120"/>
      <c r="D101" s="147">
        <v>0.75</v>
      </c>
      <c r="E101" s="148">
        <f t="shared" ref="E101:G104" si="30">+(I101)^(1/($L$10-$E$48))-1</f>
        <v>0.12612941658613219</v>
      </c>
      <c r="F101" s="148">
        <f t="shared" si="30"/>
        <v>0.17414068184459208</v>
      </c>
      <c r="G101" s="148">
        <f t="shared" si="30"/>
        <v>0.19361649192255137</v>
      </c>
      <c r="H101" s="120"/>
      <c r="I101" s="149">
        <f t="shared" ref="I101:K104" si="31">+(((((INDEX($F$55:$L$55,1,MATCH($L$10,$F$48:$L$48,0))+((E$100-$L$11)*INDEX($F$49:$L$49,1,MATCH($L$10,$F$48:$L$48,0))*(1-$L$13)))*$F$44)*(1-$D101))+MIN(MAX(0,MAX(0,(((INDEX($F$55:$L$55,1,MATCH($L$10,$F$48:$L$48,0))+((E$100-$L$11)*INDEX($F$49:$L$49,1,MATCH($L$10,$F$48:$L$48,0))*(1-$L$13)))*$F$44)*$D101)-($E$44*$D101))-MIN(MAX(0,(((INDEX($F$55:$L$55,1,MATCH($L$10,$F$48:$L$48,0))+((E$100-$L$11)*INDEX($F$49:$L$49,1,MATCH($L$10,$F$48:$L$48,0))*(1-$L$13)))*$F$44)*$D101)-($E$44*$D101)),(($E$44*$D101)*((1+$L$45)^($L$10-$E$48)-1)))),MIN(MAX(0,(((INDEX($F$55:$L$55,1,MATCH($L$10,$F$48:$L$48,0))+((E$100-$L$11)*INDEX($F$49:$L$49,1,MATCH($L$10,$F$48:$L$48,0))*(1-$L$13)))*$F$44)*$D101)-($E$44*$D101)),(($E$44*$D101)*((1+$L$45)^($L$10-$E$48)-1)))*($L$46/(1-$L$46))*$J$45)+(MAX(0,MAX(0,(((INDEX($F$55:$L$55,1,MATCH($L$10,$F$48:$L$48,0))+((E$100-$L$11)*INDEX($F$49:$L$49,1,MATCH($L$10,$F$48:$L$48,0))*(1-$L$13)))*$F$44)*$D101)-($E$44*$D101))-MIN(MAX(0,(((INDEX($F$55:$L$55,1,MATCH($L$10,$F$48:$L$48,0))+((E$100-$L$11)*INDEX($F$49:$L$49,1,MATCH($L$10,$F$48:$L$48,0))*(1-$L$13)))*$F$44)*$D101)-($E$44*$D101)),(($E$44*$D101)*((1+$L$45)^($L$10-$E$48)-1)))-MIN(MAX(0,MAX(0,(((INDEX($F$55:$L$55,1,MATCH($L$10,$F$48:$L$48,0))+((E$100-$L$11)*INDEX($F$49:$L$49,1,MATCH($L$10,$F$48:$L$48,0))*(1-$L$13)))*$F$44)*$D101)-($E$44*$D101))-MIN(MAX(0,(((INDEX($F$55:$L$55,1,MATCH($L$10,$F$48:$L$48,0))+((E$100-$L$11)*INDEX($F$49:$L$49,1,MATCH($L$10,$F$48:$L$48,0))*(1-$L$13)))*$F$44)*$D101)-($E$44*$D101)),(($E$44*$D101)*((1+$L$45)^($L$10-$E$48)-1)))),MIN(MAX(0,(((INDEX($F$55:$L$55,1,MATCH($L$10,$F$48:$L$48,0))+((E$100-$L$11)*INDEX($F$49:$L$49,1,MATCH($L$10,$F$48:$L$48,0))*(1-$L$13)))*$F$44)*$D101)-($E$44*$D101)),(($E$44*$D101)*((1+$L$45)^($L$10-$E$48)-1)))*($L$46/(1-$L$46))*$J$45))*$L$46)))/($E$44*(1-$D101))</f>
        <v>2.2967732552393798</v>
      </c>
      <c r="J101" s="149">
        <f t="shared" si="31"/>
        <v>3.0763868818905138</v>
      </c>
      <c r="K101" s="149">
        <f t="shared" si="31"/>
        <v>3.4518639873099448</v>
      </c>
      <c r="L101" s="120"/>
      <c r="M101" s="120"/>
      <c r="N101" s="120"/>
      <c r="O101" s="120"/>
    </row>
    <row r="102" spans="1:15" x14ac:dyDescent="0.2">
      <c r="A102" s="120"/>
      <c r="B102" s="120"/>
      <c r="C102" s="120"/>
      <c r="D102" s="147">
        <v>0.8</v>
      </c>
      <c r="E102" s="148">
        <f t="shared" si="30"/>
        <v>0.13212754549485939</v>
      </c>
      <c r="F102" s="148">
        <f t="shared" si="30"/>
        <v>0.18780561258515993</v>
      </c>
      <c r="G102" s="148">
        <f t="shared" si="30"/>
        <v>0.20820995702807155</v>
      </c>
      <c r="H102" s="120"/>
      <c r="I102" s="149">
        <f t="shared" si="31"/>
        <v>2.383787294049224</v>
      </c>
      <c r="J102" s="149">
        <f t="shared" si="31"/>
        <v>3.335935242126828</v>
      </c>
      <c r="K102" s="149">
        <f t="shared" si="31"/>
        <v>3.758346985723688</v>
      </c>
      <c r="L102" s="120"/>
      <c r="M102" s="120"/>
      <c r="N102" s="120"/>
      <c r="O102" s="120"/>
    </row>
    <row r="103" spans="1:15" x14ac:dyDescent="0.2">
      <c r="A103" s="120"/>
      <c r="B103" s="120"/>
      <c r="C103" s="120"/>
      <c r="D103" s="147">
        <v>0.85</v>
      </c>
      <c r="E103" s="148">
        <f t="shared" si="30"/>
        <v>0.14171964591104724</v>
      </c>
      <c r="F103" s="150">
        <f t="shared" si="30"/>
        <v>0.20867641936370185</v>
      </c>
      <c r="G103" s="148">
        <f t="shared" si="30"/>
        <v>0.23040702566068472</v>
      </c>
      <c r="H103" s="120"/>
      <c r="I103" s="149">
        <f t="shared" si="31"/>
        <v>2.5288106920656306</v>
      </c>
      <c r="J103" s="151">
        <f t="shared" si="31"/>
        <v>3.7685158425206846</v>
      </c>
      <c r="K103" s="149">
        <f t="shared" si="31"/>
        <v>4.2691519830799258</v>
      </c>
      <c r="L103" s="120"/>
      <c r="M103" s="120"/>
      <c r="N103" s="120"/>
      <c r="O103" s="120"/>
    </row>
    <row r="104" spans="1:15" x14ac:dyDescent="0.2">
      <c r="A104" s="120"/>
      <c r="B104" s="120"/>
      <c r="C104" s="120"/>
      <c r="D104" s="147">
        <v>0.9</v>
      </c>
      <c r="E104" s="148">
        <f t="shared" si="30"/>
        <v>0.15956783485405235</v>
      </c>
      <c r="F104" s="148">
        <f t="shared" si="30"/>
        <v>0.2448936497611951</v>
      </c>
      <c r="G104" s="148">
        <f t="shared" si="30"/>
        <v>0.26870235570929513</v>
      </c>
      <c r="H104" s="120"/>
      <c r="I104" s="149">
        <f t="shared" si="31"/>
        <v>2.8188574880984452</v>
      </c>
      <c r="J104" s="149">
        <f t="shared" si="31"/>
        <v>4.6336770433084</v>
      </c>
      <c r="K104" s="149">
        <f t="shared" si="31"/>
        <v>5.2907619777924033</v>
      </c>
      <c r="L104" s="120"/>
      <c r="M104" s="120"/>
      <c r="N104" s="120"/>
      <c r="O104" s="120"/>
    </row>
    <row r="105" spans="1:15" x14ac:dyDescent="0.2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</row>
    <row r="106" spans="1:15" x14ac:dyDescent="0.2">
      <c r="A106" s="120"/>
      <c r="B106" s="120"/>
      <c r="C106" s="120"/>
      <c r="D106" s="144" t="s">
        <v>230</v>
      </c>
      <c r="E106" s="145">
        <v>7</v>
      </c>
      <c r="F106" s="145">
        <f>+$G$30</f>
        <v>8.1279392554377186</v>
      </c>
      <c r="G106" s="145">
        <v>9</v>
      </c>
      <c r="H106" s="120"/>
      <c r="I106" s="152">
        <f>+E106</f>
        <v>7</v>
      </c>
      <c r="J106" s="152">
        <f>+F106</f>
        <v>8.1279392554377186</v>
      </c>
      <c r="K106" s="152">
        <f>+G106</f>
        <v>9</v>
      </c>
      <c r="L106" s="120"/>
      <c r="M106" s="120"/>
      <c r="N106" s="120"/>
      <c r="O106" s="120"/>
    </row>
    <row r="107" spans="1:15" x14ac:dyDescent="0.2">
      <c r="A107" s="120"/>
      <c r="B107" s="120"/>
      <c r="C107" s="120"/>
      <c r="D107" s="147">
        <v>0.08</v>
      </c>
      <c r="E107" s="148">
        <f t="shared" ref="E107:G109" si="32">+(I107)^(1/($L$10-$E$48))-1</f>
        <v>0.12294721990287405</v>
      </c>
      <c r="F107" s="148">
        <f t="shared" si="32"/>
        <v>0.129329452745228</v>
      </c>
      <c r="G107" s="148">
        <f t="shared" si="32"/>
        <v>0.13506420879356895</v>
      </c>
      <c r="H107" s="120"/>
      <c r="I107" s="149">
        <f>+(((INDEX($F$55:$L$55,1,MATCH($L$10,$F$48:$L$48,0))+((((($F$9*(1+$D107)*$F$12)-$F$19)/$F$7)-$L$11)*INDEX($F$49:$L$49,1,MATCH($L$10,$F$48:$L$48,0))*(1-$L$13))-((E$106-$G$30)*$F$7*(1+($L$10-$E$48)*'Debt &amp; Covenants'!$E$7*(1-0.22)))))*(((($F$9*(1+$D107)*$F$12)*$F$15)*(1+$L$12)+$I$30-(E$106*$F$7)-$F$20)/(((($F$9*(1+$D107)*$F$12)*$F$15)*(1+$L$12)+$I$30-(E$106*$F$7)-$F$20)+(($F$9*(1+$D107)*$F$12)*$F$14))))/((($F$9*(1+$D107)*$F$12)*$F$15)*(1+$L$12)+$I$30-(E$106*$F$7)-$F$20)</f>
        <v>2.2517253130941031</v>
      </c>
      <c r="J107" s="149">
        <f>+(((INDEX($F$55:$L$55,1,MATCH($L$10,$F$48:$L$48,0))+((((($F$9*(1+$D107)*$F$12)-$F$19)/$F$7)-$L$11)*INDEX($F$49:$L$49,1,MATCH($L$10,$F$48:$L$48,0))*(1-$L$13))-((F$106-$G$30)*$F$7*(1+($L$10-$E$48)*'Debt &amp; Covenants'!$E$7*(1-0.22)))))*(((($F$9*(1+$D107)*$F$12)*$F$15)*(1+$L$12)+$I$30-(F$106*$F$7)-$F$20)/(((($F$9*(1+$D107)*$F$12)*$F$15)*(1+$L$12)+$I$30-(F$106*$F$7)-$F$20)+(($F$9*(1+$D107)*$F$12)*$F$14))))/((($F$9*(1+$D107)*$F$12)*$F$15)*(1+$L$12)+$I$30-(F$106*$F$7)-$F$20)</f>
        <v>2.3428505308636303</v>
      </c>
      <c r="K107" s="149">
        <f>+(((INDEX($F$55:$L$55,1,MATCH($L$10,$F$48:$L$48,0))+((((($F$9*(1+$D107)*$F$12)-$F$19)/$F$7)-$L$11)*INDEX($F$49:$L$49,1,MATCH($L$10,$F$48:$L$48,0))*(1-$L$13))-((G$106-$G$30)*$F$7*(1+($L$10-$E$48)*'Debt &amp; Covenants'!$E$7*(1-0.22)))))*(((($F$9*(1+$D107)*$F$12)*$F$15)*(1+$L$12)+$I$30-(G$106*$F$7)-$F$20)/(((($F$9*(1+$D107)*$F$12)*$F$15)*(1+$L$12)+$I$30-(G$106*$F$7)-$F$20)+(($F$9*(1+$D107)*$F$12)*$F$14))))/((($F$9*(1+$D107)*$F$12)*$F$15)*(1+$L$12)+$I$30-(G$106*$F$7)-$F$20)</f>
        <v>2.4274092751438716</v>
      </c>
      <c r="L107" s="120"/>
      <c r="M107" s="120"/>
      <c r="N107" s="120"/>
      <c r="O107" s="120"/>
    </row>
    <row r="108" spans="1:15" x14ac:dyDescent="0.2">
      <c r="A108" s="120"/>
      <c r="B108" s="120"/>
      <c r="C108" s="120"/>
      <c r="D108" s="147">
        <v>0.12</v>
      </c>
      <c r="E108" s="148">
        <f t="shared" si="32"/>
        <v>0.12037715541673921</v>
      </c>
      <c r="F108" s="153">
        <f t="shared" si="32"/>
        <v>0.12619724534821564</v>
      </c>
      <c r="G108" s="148">
        <f t="shared" si="32"/>
        <v>0.13138175189915313</v>
      </c>
      <c r="H108" s="120"/>
      <c r="I108" s="149">
        <f>+(((INDEX($F$55:$L$55,1,MATCH($L$10,$F$48:$L$48,0))+((((($F$9*(1+$D108)*$F$12)-$F$19)/$F$7)-$L$11)*INDEX($F$49:$L$49,1,MATCH($L$10,$F$48:$L$48,0))*(1-$L$13))-((E$106-$G$30)*$F$7*(1+($L$10-$E$48)*'Debt &amp; Covenants'!$E$7*(1-0.22)))))*(((($F$9*(1+$D108)*$F$12)*$F$15)*(1+$L$12)+$I$30-(E$106*$F$7)-$F$20)/(((($F$9*(1+$D108)*$F$12)*$F$15)*(1+$L$12)+$I$30-(E$106*$F$7)-$F$20)+(($F$9*(1+$D108)*$F$12)*$F$14))))/((($F$9*(1+$D108)*$F$12)*$F$15)*(1+$L$12)+$I$30-(E$106*$F$7)-$F$20)</f>
        <v>2.2158977401983608</v>
      </c>
      <c r="J108" s="154">
        <f>+(((INDEX($F$55:$L$55,1,MATCH($L$10,$F$48:$L$48,0))+((((($F$9*(1+$D108)*$F$12)-$F$19)/$F$7)-$L$11)*INDEX($F$49:$L$49,1,MATCH($L$10,$F$48:$L$48,0))*(1-$L$13))-((F$106-$G$30)*$F$7*(1+($L$10-$E$48)*'Debt &amp; Covenants'!$E$7*(1-0.22)))))*(((($F$9*(1+$D108)*$F$12)*$F$15)*(1+$L$12)+$I$30-(F$106*$F$7)-$F$20)/(((($F$9*(1+$D108)*$F$12)*$F$15)*(1+$L$12)+$I$30-(F$106*$F$7)-$F$20)+(($F$9*(1+$D108)*$F$12)*$F$14))))/((($F$9*(1+$D108)*$F$12)*$F$15)*(1+$L$12)+$I$30-(F$106*$F$7)-$F$20)</f>
        <v>2.2977418011815711</v>
      </c>
      <c r="K108" s="149">
        <f>+(((INDEX($F$55:$L$55,1,MATCH($L$10,$F$48:$L$48,0))+((((($F$9*(1+$D108)*$F$12)-$F$19)/$F$7)-$L$11)*INDEX($F$49:$L$49,1,MATCH($L$10,$F$48:$L$48,0))*(1-$L$13))-((G$106-$G$30)*$F$7*(1+($L$10-$E$48)*'Debt &amp; Covenants'!$E$7*(1-0.22)))))*(((($F$9*(1+$D108)*$F$12)*$F$15)*(1+$L$12)+$I$30-(G$106*$F$7)-$F$20)/(((($F$9*(1+$D108)*$F$12)*$F$15)*(1+$L$12)+$I$30-(G$106*$F$7)-$F$20)+(($F$9*(1+$D108)*$F$12)*$F$14))))/((($F$9*(1+$D108)*$F$12)*$F$15)*(1+$L$12)+$I$30-(G$106*$F$7)-$F$20)</f>
        <v>2.3728166873005745</v>
      </c>
      <c r="L108" s="120"/>
      <c r="M108" s="120"/>
      <c r="N108" s="120"/>
      <c r="O108" s="120"/>
    </row>
    <row r="109" spans="1:15" x14ac:dyDescent="0.2">
      <c r="A109" s="120"/>
      <c r="B109" s="120"/>
      <c r="C109" s="120"/>
      <c r="D109" s="147">
        <v>0.16</v>
      </c>
      <c r="E109" s="148">
        <f t="shared" si="32"/>
        <v>0.11805862957381486</v>
      </c>
      <c r="F109" s="148">
        <f t="shared" si="32"/>
        <v>0.12339579569654591</v>
      </c>
      <c r="G109" s="148">
        <f t="shared" si="32"/>
        <v>0.12811363335382131</v>
      </c>
      <c r="H109" s="120"/>
      <c r="I109" s="149">
        <f>+(((INDEX($F$55:$L$55,1,MATCH($L$10,$F$48:$L$48,0))+((((($F$9*(1+$D109)*$F$12)-$F$19)/$F$7)-$L$11)*INDEX($F$49:$L$49,1,MATCH($L$10,$F$48:$L$48,0))*(1-$L$13))-((E$106-$G$30)*$F$7*(1+($L$10-$E$48)*'Debt &amp; Covenants'!$E$7*(1-0.22)))))*(((($F$9*(1+$D109)*$F$12)*$F$15)*(1+$L$12)+$I$30-(E$106*$F$7)-$F$20)/(((($F$9*(1+$D109)*$F$12)*$F$15)*(1+$L$12)+$I$30-(E$106*$F$7)-$F$20)+(($F$9*(1+$D109)*$F$12)*$F$14))))/((($F$9*(1+$D109)*$F$12)*$F$15)*(1+$L$12)+$I$30-(E$106*$F$7)-$F$20)</f>
        <v>2.1839970428168249</v>
      </c>
      <c r="J109" s="149">
        <f>+(((INDEX($F$55:$L$55,1,MATCH($L$10,$F$48:$L$48,0))+((((($F$9*(1+$D109)*$F$12)-$F$19)/$F$7)-$L$11)*INDEX($F$49:$L$49,1,MATCH($L$10,$F$48:$L$48,0))*(1-$L$13))-((F$106-$G$30)*$F$7*(1+($L$10-$E$48)*'Debt &amp; Covenants'!$E$7*(1-0.22)))))*(((($F$9*(1+$D109)*$F$12)*$F$15)*(1+$L$12)+$I$30-(F$106*$F$7)-$F$20)/(((($F$9*(1+$D109)*$F$12)*$F$15)*(1+$L$12)+$I$30-(F$106*$F$7)-$F$20)+(($F$9*(1+$D109)*$F$12)*$F$14))))/((($F$9*(1+$D109)*$F$12)*$F$15)*(1+$L$12)+$I$30-(F$106*$F$7)-$F$20)</f>
        <v>2.2580292292495563</v>
      </c>
      <c r="K109" s="149">
        <f>+(((INDEX($F$55:$L$55,1,MATCH($L$10,$F$48:$L$48,0))+((((($F$9*(1+$D109)*$F$12)-$F$19)/$F$7)-$L$11)*INDEX($F$49:$L$49,1,MATCH($L$10,$F$48:$L$48,0))*(1-$L$13))-((G$106-$G$30)*$F$7*(1+($L$10-$E$48)*'Debt &amp; Covenants'!$E$7*(1-0.22)))))*(((($F$9*(1+$D109)*$F$12)*$F$15)*(1+$L$12)+$I$30-(G$106*$F$7)-$F$20)/(((($F$9*(1+$D109)*$F$12)*$F$15)*(1+$L$12)+$I$30-(G$106*$F$7)-$F$20)+(($F$9*(1+$D109)*$F$12)*$F$14))))/((($F$9*(1+$D109)*$F$12)*$F$15)*(1+$L$12)+$I$30-(G$106*$F$7)-$F$20)</f>
        <v>2.3252515053577896</v>
      </c>
      <c r="L109" s="120"/>
      <c r="M109" s="120"/>
      <c r="N109" s="120"/>
      <c r="O109" s="120"/>
    </row>
    <row r="110" spans="1:15" x14ac:dyDescent="0.2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</row>
    <row r="111" spans="1:15" x14ac:dyDescent="0.2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</row>
    <row r="112" spans="1:15" x14ac:dyDescent="0.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</row>
    <row r="113" spans="1:15" x14ac:dyDescent="0.2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</row>
    <row r="114" spans="1:15" x14ac:dyDescent="0.2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</row>
  </sheetData>
  <mergeCells count="25">
    <mergeCell ref="H7:K7"/>
    <mergeCell ref="H21:J21"/>
    <mergeCell ref="H19:K19"/>
    <mergeCell ref="H46:I46"/>
    <mergeCell ref="H36:I36"/>
    <mergeCell ref="H10:K10"/>
    <mergeCell ref="H9:K9"/>
    <mergeCell ref="H45:I45"/>
    <mergeCell ref="H37:I37"/>
    <mergeCell ref="H20:J20"/>
    <mergeCell ref="H42:I42"/>
    <mergeCell ref="H11:K11"/>
    <mergeCell ref="H33:I33"/>
    <mergeCell ref="H16:K16"/>
    <mergeCell ref="H44:I44"/>
    <mergeCell ref="H18:K18"/>
    <mergeCell ref="H34:I34"/>
    <mergeCell ref="H14:K14"/>
    <mergeCell ref="H8:K8"/>
    <mergeCell ref="H35:I35"/>
    <mergeCell ref="H13:K13"/>
    <mergeCell ref="H43:I43"/>
    <mergeCell ref="H12:K12"/>
    <mergeCell ref="H17:J17"/>
    <mergeCell ref="H15:K15"/>
  </mergeCells>
  <dataValidations disablePrompts="1" count="1">
    <dataValidation type="list" sqref="L10" xr:uid="{00000000-0002-0000-0100-000000000000}">
      <formula1>"2026,2027,2028,2029,2030,2031,2032"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9"/>
  <sheetViews>
    <sheetView showGridLines="0" workbookViewId="0">
      <selection activeCell="O44" sqref="O44"/>
    </sheetView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44" customWidth="1"/>
    <col min="5" max="7" width="9.42578125" customWidth="1"/>
    <col min="8" max="8" width="10.42578125" customWidth="1"/>
    <col min="9" max="19" width="11" customWidth="1"/>
    <col min="20" max="21" width="10.42578125" customWidth="1"/>
  </cols>
  <sheetData>
    <row r="1" spans="1:21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 t="s">
        <v>1</v>
      </c>
    </row>
    <row r="2" spans="1:21" ht="16.05" customHeight="1" x14ac:dyDescent="0.25">
      <c r="A2" s="6" t="s">
        <v>2</v>
      </c>
      <c r="B2" s="6" t="s">
        <v>231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spans="1:21" ht="16.05" customHeight="1" x14ac:dyDescent="0.2">
      <c r="A4" s="12" t="s">
        <v>4</v>
      </c>
      <c r="B4" s="12" t="s">
        <v>4</v>
      </c>
      <c r="C4" s="13" t="s">
        <v>232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6" spans="1:21" ht="13.95" customHeight="1" x14ac:dyDescent="0.2">
      <c r="C6" s="14" t="s">
        <v>233</v>
      </c>
      <c r="D6" s="14"/>
      <c r="E6" s="59" t="s">
        <v>234</v>
      </c>
      <c r="F6" s="59" t="s">
        <v>235</v>
      </c>
      <c r="G6" s="59" t="s">
        <v>236</v>
      </c>
      <c r="H6" s="59" t="s">
        <v>237</v>
      </c>
      <c r="I6" s="59" t="s">
        <v>25</v>
      </c>
      <c r="J6" s="59" t="s">
        <v>25</v>
      </c>
      <c r="K6" s="59" t="s">
        <v>25</v>
      </c>
      <c r="L6" s="59" t="s">
        <v>25</v>
      </c>
      <c r="M6" s="59" t="s">
        <v>25</v>
      </c>
      <c r="N6" s="59" t="s">
        <v>25</v>
      </c>
      <c r="O6" s="59" t="s">
        <v>25</v>
      </c>
      <c r="P6" s="59" t="s">
        <v>25</v>
      </c>
      <c r="Q6" s="59" t="s">
        <v>25</v>
      </c>
      <c r="R6" s="59" t="s">
        <v>25</v>
      </c>
      <c r="S6" s="59" t="s">
        <v>25</v>
      </c>
      <c r="T6" s="14"/>
      <c r="U6" s="14"/>
    </row>
    <row r="7" spans="1:21" ht="13.95" customHeight="1" x14ac:dyDescent="0.2">
      <c r="C7" s="14" t="s">
        <v>26</v>
      </c>
      <c r="D7" s="14" t="s">
        <v>238</v>
      </c>
      <c r="E7" s="59" t="s">
        <v>239</v>
      </c>
      <c r="F7" s="59" t="s">
        <v>240</v>
      </c>
      <c r="G7" s="59" t="s">
        <v>241</v>
      </c>
      <c r="H7" s="59" t="str">
        <f>CHOOSE($F$8,E7,F7,G7)</f>
        <v>Base</v>
      </c>
      <c r="I7" s="50">
        <v>2022</v>
      </c>
      <c r="J7" s="50">
        <f t="shared" ref="J7:S7" si="0">+I7+1</f>
        <v>2023</v>
      </c>
      <c r="K7" s="50">
        <f t="shared" si="0"/>
        <v>2024</v>
      </c>
      <c r="L7" s="50">
        <f t="shared" si="0"/>
        <v>2025</v>
      </c>
      <c r="M7" s="51">
        <f t="shared" si="0"/>
        <v>2026</v>
      </c>
      <c r="N7" s="51">
        <f t="shared" si="0"/>
        <v>2027</v>
      </c>
      <c r="O7" s="51">
        <f t="shared" si="0"/>
        <v>2028</v>
      </c>
      <c r="P7" s="51">
        <f t="shared" si="0"/>
        <v>2029</v>
      </c>
      <c r="Q7" s="51">
        <f t="shared" si="0"/>
        <v>2030</v>
      </c>
      <c r="R7" s="51">
        <f t="shared" si="0"/>
        <v>2031</v>
      </c>
      <c r="S7" s="51">
        <f t="shared" si="0"/>
        <v>2032</v>
      </c>
      <c r="T7" s="14"/>
      <c r="U7" s="14"/>
    </row>
    <row r="8" spans="1:21" x14ac:dyDescent="0.2">
      <c r="B8" s="9">
        <v>1</v>
      </c>
      <c r="D8" s="52" t="s">
        <v>242</v>
      </c>
      <c r="E8" s="60" t="s">
        <v>243</v>
      </c>
      <c r="F8" s="61">
        <v>1</v>
      </c>
      <c r="G8" s="52"/>
      <c r="H8" s="62" t="str">
        <f>CHOOSE($F$8,E7,F7,G7)</f>
        <v>Base</v>
      </c>
    </row>
    <row r="9" spans="1:21" x14ac:dyDescent="0.2">
      <c r="D9" s="18" t="s">
        <v>244</v>
      </c>
      <c r="E9" s="63">
        <v>5.5E-2</v>
      </c>
      <c r="F9" s="63">
        <v>0.08</v>
      </c>
      <c r="G9" s="63">
        <v>2.2499999999999999E-2</v>
      </c>
      <c r="H9" s="64">
        <f t="shared" ref="H9:H17" si="1">CHOOSE($F$8,E9,F9,G9)</f>
        <v>5.5E-2</v>
      </c>
      <c r="I9" s="63">
        <v>0.17499999999999999</v>
      </c>
      <c r="J9" s="63">
        <v>0.104</v>
      </c>
      <c r="K9" s="63">
        <v>7.4999999999999997E-2</v>
      </c>
      <c r="L9" s="63">
        <v>3.2000000000000001E-2</v>
      </c>
      <c r="M9" s="65">
        <f t="shared" ref="M9:S17" si="2">+$H9</f>
        <v>5.5E-2</v>
      </c>
      <c r="N9" s="65">
        <f t="shared" si="2"/>
        <v>5.5E-2</v>
      </c>
      <c r="O9" s="65">
        <f t="shared" si="2"/>
        <v>5.5E-2</v>
      </c>
      <c r="P9" s="65">
        <f t="shared" si="2"/>
        <v>5.5E-2</v>
      </c>
      <c r="Q9" s="65">
        <f t="shared" si="2"/>
        <v>5.5E-2</v>
      </c>
      <c r="R9" s="65">
        <f t="shared" si="2"/>
        <v>5.5E-2</v>
      </c>
      <c r="S9" s="65">
        <f t="shared" si="2"/>
        <v>5.5E-2</v>
      </c>
    </row>
    <row r="10" spans="1:21" x14ac:dyDescent="0.2">
      <c r="D10" s="18" t="s">
        <v>245</v>
      </c>
      <c r="E10" s="63">
        <v>0.58199999999999996</v>
      </c>
      <c r="F10" s="63">
        <v>0.59</v>
      </c>
      <c r="G10" s="63">
        <v>0.56999999999999995</v>
      </c>
      <c r="H10" s="64">
        <f t="shared" si="1"/>
        <v>0.58199999999999996</v>
      </c>
      <c r="I10" s="66">
        <f>+I23/I$21</f>
        <v>0.56983634744695877</v>
      </c>
      <c r="J10" s="66">
        <f>+J23/J$21</f>
        <v>0.57757253734664926</v>
      </c>
      <c r="K10" s="66">
        <f>+K23/K$21</f>
        <v>0.57835473182853592</v>
      </c>
      <c r="L10" s="66">
        <f>+L23/L$21</f>
        <v>0.58253060405378287</v>
      </c>
      <c r="M10" s="65">
        <f t="shared" si="2"/>
        <v>0.58199999999999996</v>
      </c>
      <c r="N10" s="65">
        <f t="shared" si="2"/>
        <v>0.58199999999999996</v>
      </c>
      <c r="O10" s="65">
        <f t="shared" si="2"/>
        <v>0.58199999999999996</v>
      </c>
      <c r="P10" s="65">
        <f t="shared" si="2"/>
        <v>0.58199999999999996</v>
      </c>
      <c r="Q10" s="65">
        <f t="shared" si="2"/>
        <v>0.58199999999999996</v>
      </c>
      <c r="R10" s="65">
        <f t="shared" si="2"/>
        <v>0.58199999999999996</v>
      </c>
      <c r="S10" s="65">
        <f t="shared" si="2"/>
        <v>0.58199999999999996</v>
      </c>
    </row>
    <row r="11" spans="1:21" x14ac:dyDescent="0.2">
      <c r="D11" s="18" t="s">
        <v>246</v>
      </c>
      <c r="E11" s="63">
        <v>4.2500000000000003E-2</v>
      </c>
      <c r="F11" s="63">
        <v>5.5E-2</v>
      </c>
      <c r="G11" s="63">
        <v>3.2500000000000001E-2</v>
      </c>
      <c r="H11" s="64">
        <f t="shared" si="1"/>
        <v>4.2500000000000003E-2</v>
      </c>
      <c r="I11" s="63">
        <v>0.109</v>
      </c>
      <c r="J11" s="63">
        <v>0.1</v>
      </c>
      <c r="K11" s="63">
        <v>6.5000000000000002E-2</v>
      </c>
      <c r="L11" s="63">
        <v>2.8000000000000001E-2</v>
      </c>
      <c r="M11" s="65">
        <f t="shared" si="2"/>
        <v>4.2500000000000003E-2</v>
      </c>
      <c r="N11" s="65">
        <f t="shared" si="2"/>
        <v>4.2500000000000003E-2</v>
      </c>
      <c r="O11" s="65">
        <f t="shared" si="2"/>
        <v>4.2500000000000003E-2</v>
      </c>
      <c r="P11" s="65">
        <f t="shared" si="2"/>
        <v>4.2500000000000003E-2</v>
      </c>
      <c r="Q11" s="65">
        <f t="shared" si="2"/>
        <v>4.2500000000000003E-2</v>
      </c>
      <c r="R11" s="65">
        <f t="shared" si="2"/>
        <v>4.2500000000000003E-2</v>
      </c>
      <c r="S11" s="65">
        <f t="shared" si="2"/>
        <v>4.2500000000000003E-2</v>
      </c>
    </row>
    <row r="12" spans="1:21" x14ac:dyDescent="0.2">
      <c r="D12" s="18" t="s">
        <v>247</v>
      </c>
      <c r="E12" s="63">
        <v>0.02</v>
      </c>
      <c r="F12" s="63">
        <v>0.03</v>
      </c>
      <c r="G12" s="63">
        <v>0.01</v>
      </c>
      <c r="H12" s="64">
        <f t="shared" si="1"/>
        <v>0.02</v>
      </c>
      <c r="I12" s="63">
        <v>0.05</v>
      </c>
      <c r="J12" s="66">
        <f>+J28/I28-1</f>
        <v>6.9093152375077072E-2</v>
      </c>
      <c r="K12" s="66">
        <f>+K28/J28-1</f>
        <v>3.9815349105597253E-2</v>
      </c>
      <c r="L12" s="66">
        <f>+L28/K28-1</f>
        <v>1.7758046614872347E-2</v>
      </c>
      <c r="M12" s="65">
        <f t="shared" si="2"/>
        <v>0.02</v>
      </c>
      <c r="N12" s="65">
        <f t="shared" si="2"/>
        <v>0.02</v>
      </c>
      <c r="O12" s="65">
        <f t="shared" si="2"/>
        <v>0.02</v>
      </c>
      <c r="P12" s="65">
        <f t="shared" si="2"/>
        <v>0.02</v>
      </c>
      <c r="Q12" s="65">
        <f t="shared" si="2"/>
        <v>0.02</v>
      </c>
      <c r="R12" s="65">
        <f t="shared" si="2"/>
        <v>0.02</v>
      </c>
      <c r="S12" s="65">
        <f t="shared" si="2"/>
        <v>0.02</v>
      </c>
    </row>
    <row r="13" spans="1:21" x14ac:dyDescent="0.2">
      <c r="D13" s="18" t="s">
        <v>248</v>
      </c>
      <c r="E13" s="63">
        <v>3.5000000000000003E-2</v>
      </c>
      <c r="F13" s="63">
        <v>3.5000000000000003E-2</v>
      </c>
      <c r="G13" s="63">
        <v>3.4000000000000002E-2</v>
      </c>
      <c r="H13" s="64">
        <f t="shared" si="1"/>
        <v>3.5000000000000003E-2</v>
      </c>
      <c r="I13" s="66">
        <f t="shared" ref="I13:L14" si="3">+I52/I$21</f>
        <v>3.2239245908686175E-2</v>
      </c>
      <c r="J13" s="66">
        <f t="shared" si="3"/>
        <v>3.4773416418616296E-2</v>
      </c>
      <c r="K13" s="66">
        <f t="shared" si="3"/>
        <v>3.7533650859391178E-2</v>
      </c>
      <c r="L13" s="66">
        <f t="shared" si="3"/>
        <v>3.7126229179209311E-2</v>
      </c>
      <c r="M13" s="65">
        <f t="shared" si="2"/>
        <v>3.5000000000000003E-2</v>
      </c>
      <c r="N13" s="65">
        <f t="shared" si="2"/>
        <v>3.5000000000000003E-2</v>
      </c>
      <c r="O13" s="65">
        <f t="shared" si="2"/>
        <v>3.5000000000000003E-2</v>
      </c>
      <c r="P13" s="65">
        <f t="shared" si="2"/>
        <v>3.5000000000000003E-2</v>
      </c>
      <c r="Q13" s="65">
        <f t="shared" si="2"/>
        <v>3.5000000000000003E-2</v>
      </c>
      <c r="R13" s="65">
        <f t="shared" si="2"/>
        <v>3.5000000000000003E-2</v>
      </c>
      <c r="S13" s="65">
        <f t="shared" si="2"/>
        <v>3.5000000000000003E-2</v>
      </c>
    </row>
    <row r="14" spans="1:21" x14ac:dyDescent="0.2">
      <c r="D14" s="18" t="s">
        <v>249</v>
      </c>
      <c r="E14" s="63">
        <v>1.7000000000000001E-2</v>
      </c>
      <c r="F14" s="63">
        <v>0.02</v>
      </c>
      <c r="G14" s="63">
        <v>1.2E-2</v>
      </c>
      <c r="H14" s="64">
        <f t="shared" si="1"/>
        <v>1.7000000000000001E-2</v>
      </c>
      <c r="I14" s="66">
        <f t="shared" si="3"/>
        <v>1.1206975958733765E-2</v>
      </c>
      <c r="J14" s="66">
        <f t="shared" si="3"/>
        <v>1.7303252009903469E-2</v>
      </c>
      <c r="K14" s="66">
        <f t="shared" si="3"/>
        <v>3.1631807827707602E-2</v>
      </c>
      <c r="L14" s="66">
        <f t="shared" si="3"/>
        <v>3.0905077262693158E-2</v>
      </c>
      <c r="M14" s="65">
        <f t="shared" si="2"/>
        <v>1.7000000000000001E-2</v>
      </c>
      <c r="N14" s="65">
        <f t="shared" si="2"/>
        <v>1.7000000000000001E-2</v>
      </c>
      <c r="O14" s="65">
        <f t="shared" si="2"/>
        <v>1.7000000000000001E-2</v>
      </c>
      <c r="P14" s="65">
        <f t="shared" si="2"/>
        <v>1.7000000000000001E-2</v>
      </c>
      <c r="Q14" s="65">
        <f t="shared" si="2"/>
        <v>1.7000000000000001E-2</v>
      </c>
      <c r="R14" s="65">
        <f t="shared" si="2"/>
        <v>1.7000000000000001E-2</v>
      </c>
      <c r="S14" s="65">
        <f t="shared" si="2"/>
        <v>1.7000000000000001E-2</v>
      </c>
    </row>
    <row r="15" spans="1:21" x14ac:dyDescent="0.2">
      <c r="D15" s="18" t="s">
        <v>250</v>
      </c>
      <c r="E15" s="63">
        <v>8.1500000000000003E-2</v>
      </c>
      <c r="F15" s="63">
        <v>7.9000000000000001E-2</v>
      </c>
      <c r="G15" s="63">
        <v>8.5000000000000006E-2</v>
      </c>
      <c r="H15" s="64">
        <f t="shared" si="1"/>
        <v>8.1500000000000003E-2</v>
      </c>
      <c r="I15" s="66">
        <f t="shared" ref="I15:L17" si="4">+I39/I$21</f>
        <v>9.7976603518683411E-2</v>
      </c>
      <c r="J15" s="66">
        <f t="shared" si="4"/>
        <v>8.251036247809275E-2</v>
      </c>
      <c r="K15" s="66">
        <f t="shared" si="4"/>
        <v>8.5965003106233173E-2</v>
      </c>
      <c r="L15" s="66">
        <f t="shared" si="4"/>
        <v>8.1502107164358822E-2</v>
      </c>
      <c r="M15" s="65">
        <f t="shared" si="2"/>
        <v>8.1500000000000003E-2</v>
      </c>
      <c r="N15" s="65">
        <f t="shared" si="2"/>
        <v>8.1500000000000003E-2</v>
      </c>
      <c r="O15" s="65">
        <f t="shared" si="2"/>
        <v>8.1500000000000003E-2</v>
      </c>
      <c r="P15" s="65">
        <f t="shared" si="2"/>
        <v>8.1500000000000003E-2</v>
      </c>
      <c r="Q15" s="65">
        <f t="shared" si="2"/>
        <v>8.1500000000000003E-2</v>
      </c>
      <c r="R15" s="65">
        <f t="shared" si="2"/>
        <v>8.1500000000000003E-2</v>
      </c>
      <c r="S15" s="65">
        <f t="shared" si="2"/>
        <v>8.1500000000000003E-2</v>
      </c>
    </row>
    <row r="16" spans="1:21" x14ac:dyDescent="0.2">
      <c r="D16" s="18" t="s">
        <v>251</v>
      </c>
      <c r="E16" s="63">
        <v>2.92E-2</v>
      </c>
      <c r="F16" s="63">
        <v>2.8500000000000001E-2</v>
      </c>
      <c r="G16" s="63">
        <v>0.03</v>
      </c>
      <c r="H16" s="64">
        <f t="shared" si="1"/>
        <v>2.92E-2</v>
      </c>
      <c r="I16" s="66">
        <f t="shared" si="4"/>
        <v>2.612914120789708E-2</v>
      </c>
      <c r="J16" s="66">
        <f t="shared" si="4"/>
        <v>2.8875844994018973E-2</v>
      </c>
      <c r="K16" s="66">
        <f t="shared" si="4"/>
        <v>2.8163180782770761E-2</v>
      </c>
      <c r="L16" s="66">
        <f t="shared" si="4"/>
        <v>2.9249448123620309E-2</v>
      </c>
      <c r="M16" s="65">
        <f t="shared" si="2"/>
        <v>2.92E-2</v>
      </c>
      <c r="N16" s="65">
        <f t="shared" si="2"/>
        <v>2.92E-2</v>
      </c>
      <c r="O16" s="65">
        <f t="shared" si="2"/>
        <v>2.92E-2</v>
      </c>
      <c r="P16" s="65">
        <f t="shared" si="2"/>
        <v>2.92E-2</v>
      </c>
      <c r="Q16" s="65">
        <f t="shared" si="2"/>
        <v>2.92E-2</v>
      </c>
      <c r="R16" s="65">
        <f t="shared" si="2"/>
        <v>2.92E-2</v>
      </c>
      <c r="S16" s="65">
        <f t="shared" si="2"/>
        <v>2.92E-2</v>
      </c>
    </row>
    <row r="17" spans="2:21" x14ac:dyDescent="0.2">
      <c r="D17" s="18" t="s">
        <v>252</v>
      </c>
      <c r="E17" s="63">
        <v>-0.21540000000000001</v>
      </c>
      <c r="F17" s="63">
        <v>-0.2155</v>
      </c>
      <c r="G17" s="63">
        <v>-0.21299999999999999</v>
      </c>
      <c r="H17" s="64">
        <f t="shared" si="1"/>
        <v>-0.21540000000000001</v>
      </c>
      <c r="I17" s="66">
        <f t="shared" si="4"/>
        <v>-0.20144923086370475</v>
      </c>
      <c r="J17" s="66">
        <f t="shared" si="4"/>
        <v>-0.20772248031824631</v>
      </c>
      <c r="K17" s="66">
        <f t="shared" si="4"/>
        <v>-0.22235452474632428</v>
      </c>
      <c r="L17" s="66">
        <f t="shared" si="4"/>
        <v>-0.21540738510937185</v>
      </c>
      <c r="M17" s="65">
        <f t="shared" si="2"/>
        <v>-0.21540000000000001</v>
      </c>
      <c r="N17" s="65">
        <f t="shared" si="2"/>
        <v>-0.21540000000000001</v>
      </c>
      <c r="O17" s="65">
        <f t="shared" si="2"/>
        <v>-0.21540000000000001</v>
      </c>
      <c r="P17" s="65">
        <f t="shared" si="2"/>
        <v>-0.21540000000000001</v>
      </c>
      <c r="Q17" s="65">
        <f t="shared" si="2"/>
        <v>-0.21540000000000001</v>
      </c>
      <c r="R17" s="65">
        <f t="shared" si="2"/>
        <v>-0.21540000000000001</v>
      </c>
      <c r="S17" s="65">
        <f t="shared" si="2"/>
        <v>-0.21540000000000001</v>
      </c>
    </row>
    <row r="19" spans="2:21" ht="13.95" customHeight="1" x14ac:dyDescent="0.2">
      <c r="C19" s="14" t="s">
        <v>253</v>
      </c>
      <c r="D19" s="14"/>
      <c r="E19" s="14"/>
      <c r="F19" s="14"/>
      <c r="G19" s="14"/>
      <c r="H19" s="14"/>
      <c r="I19" s="59" t="s">
        <v>25</v>
      </c>
      <c r="J19" s="59" t="s">
        <v>25</v>
      </c>
      <c r="K19" s="59" t="s">
        <v>25</v>
      </c>
      <c r="L19" s="59" t="s">
        <v>25</v>
      </c>
      <c r="M19" s="59" t="s">
        <v>25</v>
      </c>
      <c r="N19" s="59" t="s">
        <v>25</v>
      </c>
      <c r="O19" s="59" t="s">
        <v>25</v>
      </c>
      <c r="P19" s="59" t="s">
        <v>25</v>
      </c>
      <c r="Q19" s="59" t="s">
        <v>25</v>
      </c>
      <c r="R19" s="59" t="s">
        <v>25</v>
      </c>
      <c r="S19" s="59" t="s">
        <v>25</v>
      </c>
      <c r="T19" s="59" t="s">
        <v>254</v>
      </c>
      <c r="U19" s="59" t="s">
        <v>254</v>
      </c>
    </row>
    <row r="20" spans="2:21" ht="13.95" customHeight="1" x14ac:dyDescent="0.2">
      <c r="C20" s="14" t="s">
        <v>26</v>
      </c>
      <c r="D20" s="14" t="s">
        <v>238</v>
      </c>
      <c r="E20" s="14"/>
      <c r="F20" s="14"/>
      <c r="G20" s="14"/>
      <c r="H20" s="14"/>
      <c r="I20" s="50">
        <v>2022</v>
      </c>
      <c r="J20" s="50">
        <f t="shared" ref="J20:S20" si="5">+I20+1</f>
        <v>2023</v>
      </c>
      <c r="K20" s="50">
        <f t="shared" si="5"/>
        <v>2024</v>
      </c>
      <c r="L20" s="50">
        <f t="shared" si="5"/>
        <v>2025</v>
      </c>
      <c r="M20" s="51">
        <f t="shared" si="5"/>
        <v>2026</v>
      </c>
      <c r="N20" s="51">
        <f t="shared" si="5"/>
        <v>2027</v>
      </c>
      <c r="O20" s="51">
        <f t="shared" si="5"/>
        <v>2028</v>
      </c>
      <c r="P20" s="51">
        <f t="shared" si="5"/>
        <v>2029</v>
      </c>
      <c r="Q20" s="51">
        <f t="shared" si="5"/>
        <v>2030</v>
      </c>
      <c r="R20" s="51">
        <f t="shared" si="5"/>
        <v>2031</v>
      </c>
      <c r="S20" s="51">
        <f t="shared" si="5"/>
        <v>2032</v>
      </c>
      <c r="T20" s="59" t="s">
        <v>255</v>
      </c>
      <c r="U20" s="59" t="s">
        <v>256</v>
      </c>
    </row>
    <row r="21" spans="2:21" x14ac:dyDescent="0.2">
      <c r="B21" s="9">
        <v>2</v>
      </c>
      <c r="D21" s="52" t="s">
        <v>257</v>
      </c>
      <c r="I21" s="67">
        <v>32569</v>
      </c>
      <c r="J21" s="67">
        <v>35947</v>
      </c>
      <c r="K21" s="67">
        <v>38632</v>
      </c>
      <c r="L21" s="67">
        <v>39864</v>
      </c>
      <c r="M21" s="53">
        <f t="shared" ref="M21:S21" si="6">+L21*(1+M9)</f>
        <v>42056.52</v>
      </c>
      <c r="N21" s="53">
        <f t="shared" si="6"/>
        <v>44369.628599999996</v>
      </c>
      <c r="O21" s="53">
        <f t="shared" si="6"/>
        <v>46809.958172999992</v>
      </c>
      <c r="P21" s="53">
        <f t="shared" si="6"/>
        <v>49384.505872514987</v>
      </c>
      <c r="Q21" s="53">
        <f t="shared" si="6"/>
        <v>52100.653695503308</v>
      </c>
      <c r="R21" s="53">
        <f t="shared" si="6"/>
        <v>54966.189648755986</v>
      </c>
      <c r="S21" s="53">
        <f t="shared" si="6"/>
        <v>57989.330079437561</v>
      </c>
      <c r="T21" s="68">
        <f>+IFERROR((L21/I21)^(1/(L$20-I$20))-1,0)</f>
        <v>6.9692169565607642E-2</v>
      </c>
      <c r="U21" s="68">
        <f>+IFERROR((S21/L21)^(1/(S$20-L$20))-1,0)</f>
        <v>5.4999999999999938E-2</v>
      </c>
    </row>
    <row r="22" spans="2:21" x14ac:dyDescent="0.2">
      <c r="D22" s="18" t="s">
        <v>258</v>
      </c>
      <c r="I22" s="35">
        <f t="shared" ref="I22:S22" si="7">+I23-I21</f>
        <v>-14010</v>
      </c>
      <c r="J22" s="35">
        <f t="shared" si="7"/>
        <v>-15185</v>
      </c>
      <c r="K22" s="35">
        <f t="shared" si="7"/>
        <v>-16289</v>
      </c>
      <c r="L22" s="35">
        <f t="shared" si="7"/>
        <v>-16642</v>
      </c>
      <c r="M22" s="35">
        <f t="shared" si="7"/>
        <v>-17579.625360000002</v>
      </c>
      <c r="N22" s="35">
        <f t="shared" si="7"/>
        <v>-18546.5047548</v>
      </c>
      <c r="O22" s="35">
        <f t="shared" si="7"/>
        <v>-19566.562516313999</v>
      </c>
      <c r="P22" s="35">
        <f t="shared" si="7"/>
        <v>-20642.723454711268</v>
      </c>
      <c r="Q22" s="35">
        <f t="shared" si="7"/>
        <v>-21778.073244720385</v>
      </c>
      <c r="R22" s="35">
        <f t="shared" si="7"/>
        <v>-22975.867273180003</v>
      </c>
      <c r="S22" s="35">
        <f t="shared" si="7"/>
        <v>-24239.539973204905</v>
      </c>
      <c r="T22" s="44">
        <f>+IFERROR((L22/I22)^(1/(L$20-I$20))-1,0)</f>
        <v>5.9064622247452236E-2</v>
      </c>
      <c r="U22" s="44">
        <f>+IFERROR((S22/L22)^(1/(S$20-L$20))-1,0)</f>
        <v>5.5191453757701403E-2</v>
      </c>
    </row>
    <row r="23" spans="2:21" x14ac:dyDescent="0.2">
      <c r="D23" s="52" t="s">
        <v>259</v>
      </c>
      <c r="I23" s="67">
        <v>18559</v>
      </c>
      <c r="J23" s="67">
        <v>20762</v>
      </c>
      <c r="K23" s="67">
        <v>22343</v>
      </c>
      <c r="L23" s="67">
        <v>23222</v>
      </c>
      <c r="M23" s="53">
        <f t="shared" ref="M23:S23" si="8">+M21*M10</f>
        <v>24476.894639999995</v>
      </c>
      <c r="N23" s="53">
        <f t="shared" si="8"/>
        <v>25823.123845199996</v>
      </c>
      <c r="O23" s="53">
        <f t="shared" si="8"/>
        <v>27243.395656685992</v>
      </c>
      <c r="P23" s="53">
        <f t="shared" si="8"/>
        <v>28741.782417803719</v>
      </c>
      <c r="Q23" s="53">
        <f t="shared" si="8"/>
        <v>30322.580450782923</v>
      </c>
      <c r="R23" s="53">
        <f t="shared" si="8"/>
        <v>31990.322375575983</v>
      </c>
      <c r="S23" s="53">
        <f t="shared" si="8"/>
        <v>33749.790106232656</v>
      </c>
      <c r="T23" s="68">
        <f>+IFERROR((L23/I23)^(1/(L$20-I$20))-1,0)</f>
        <v>7.7577090563288209E-2</v>
      </c>
      <c r="U23" s="68">
        <f>+IFERROR((S23/L23)^(1/(S$20-L$20))-1,0)</f>
        <v>5.4862666706853691E-2</v>
      </c>
    </row>
    <row r="24" spans="2:21" x14ac:dyDescent="0.2">
      <c r="D24" s="69" t="s">
        <v>260</v>
      </c>
      <c r="I24" s="70">
        <f t="shared" ref="I24:S24" si="9">+IFERROR(I23/I$21,0)</f>
        <v>0.56983634744695877</v>
      </c>
      <c r="J24" s="70">
        <f t="shared" si="9"/>
        <v>0.57757253734664926</v>
      </c>
      <c r="K24" s="70">
        <f t="shared" si="9"/>
        <v>0.57835473182853592</v>
      </c>
      <c r="L24" s="70">
        <f t="shared" si="9"/>
        <v>0.58253060405378287</v>
      </c>
      <c r="M24" s="70">
        <f t="shared" si="9"/>
        <v>0.58199999999999996</v>
      </c>
      <c r="N24" s="70">
        <f t="shared" si="9"/>
        <v>0.58199999999999996</v>
      </c>
      <c r="O24" s="70">
        <f t="shared" si="9"/>
        <v>0.58199999999999996</v>
      </c>
      <c r="P24" s="70">
        <f t="shared" si="9"/>
        <v>0.58199999999999996</v>
      </c>
      <c r="Q24" s="70">
        <f t="shared" si="9"/>
        <v>0.58199999999999996</v>
      </c>
      <c r="R24" s="70">
        <f t="shared" si="9"/>
        <v>0.58199999999999996</v>
      </c>
      <c r="S24" s="70">
        <f t="shared" si="9"/>
        <v>0.58199999999999996</v>
      </c>
    </row>
    <row r="25" spans="2:21" x14ac:dyDescent="0.2">
      <c r="D25" s="18" t="s">
        <v>261</v>
      </c>
      <c r="I25" s="39">
        <v>-9910</v>
      </c>
      <c r="J25" s="39">
        <v>-10912</v>
      </c>
      <c r="K25" s="39">
        <v>-11615</v>
      </c>
      <c r="L25" s="39">
        <v>-11955</v>
      </c>
      <c r="M25" s="35">
        <f t="shared" ref="M25:S25" si="10">+L25*(1+M11)</f>
        <v>-12463.0875</v>
      </c>
      <c r="N25" s="35">
        <f t="shared" si="10"/>
        <v>-12992.76871875</v>
      </c>
      <c r="O25" s="35">
        <f t="shared" si="10"/>
        <v>-13544.961389296874</v>
      </c>
      <c r="P25" s="35">
        <f t="shared" si="10"/>
        <v>-14120.62224834199</v>
      </c>
      <c r="Q25" s="35">
        <f t="shared" si="10"/>
        <v>-14720.748693896525</v>
      </c>
      <c r="R25" s="35">
        <f t="shared" si="10"/>
        <v>-15346.380513387126</v>
      </c>
      <c r="S25" s="35">
        <f t="shared" si="10"/>
        <v>-15998.601685206078</v>
      </c>
      <c r="T25" s="44">
        <f>+IFERROR((L25/I25)^(1/(L$20-I$20))-1,0)</f>
        <v>6.4531806498290267E-2</v>
      </c>
      <c r="U25" s="44">
        <f>+IFERROR((S25/L25)^(1/(S$20-L$20))-1,0)</f>
        <v>4.2499999999999982E-2</v>
      </c>
    </row>
    <row r="26" spans="2:21" x14ac:dyDescent="0.2">
      <c r="D26" s="52" t="s">
        <v>262</v>
      </c>
      <c r="I26" s="53">
        <f t="shared" ref="I26:S26" si="11">+I23+I25</f>
        <v>8649</v>
      </c>
      <c r="J26" s="53">
        <f t="shared" si="11"/>
        <v>9850</v>
      </c>
      <c r="K26" s="53">
        <f t="shared" si="11"/>
        <v>10728</v>
      </c>
      <c r="L26" s="53">
        <f t="shared" si="11"/>
        <v>11267</v>
      </c>
      <c r="M26" s="53">
        <f t="shared" si="11"/>
        <v>12013.807139999995</v>
      </c>
      <c r="N26" s="53">
        <f t="shared" si="11"/>
        <v>12830.355126449997</v>
      </c>
      <c r="O26" s="53">
        <f t="shared" si="11"/>
        <v>13698.434267389119</v>
      </c>
      <c r="P26" s="53">
        <f t="shared" si="11"/>
        <v>14621.160169461729</v>
      </c>
      <c r="Q26" s="53">
        <f t="shared" si="11"/>
        <v>15601.831756886399</v>
      </c>
      <c r="R26" s="53">
        <f t="shared" si="11"/>
        <v>16643.941862188854</v>
      </c>
      <c r="S26" s="53">
        <f t="shared" si="11"/>
        <v>17751.188421026578</v>
      </c>
      <c r="T26" s="68">
        <f>+IFERROR((L26/I26)^(1/(L$20-I$20))-1,0)</f>
        <v>9.2146250392488138E-2</v>
      </c>
      <c r="U26" s="68">
        <f>+IFERROR((S26/L26)^(1/(S$20-L$20))-1,0)</f>
        <v>6.709413817858656E-2</v>
      </c>
    </row>
    <row r="27" spans="2:21" x14ac:dyDescent="0.2">
      <c r="D27" s="69" t="s">
        <v>263</v>
      </c>
      <c r="I27" s="70">
        <f t="shared" ref="I27:S27" si="12">+IFERROR(I26/I$21,0)</f>
        <v>0.2655592741564064</v>
      </c>
      <c r="J27" s="70">
        <f t="shared" si="12"/>
        <v>0.27401452137869642</v>
      </c>
      <c r="K27" s="70">
        <f t="shared" si="12"/>
        <v>0.27769724580658522</v>
      </c>
      <c r="L27" s="70">
        <f t="shared" si="12"/>
        <v>0.28263596227172388</v>
      </c>
      <c r="M27" s="70">
        <f t="shared" si="12"/>
        <v>0.2856586122674914</v>
      </c>
      <c r="N27" s="70">
        <f t="shared" si="12"/>
        <v>0.28916976615057799</v>
      </c>
      <c r="O27" s="70">
        <f t="shared" si="12"/>
        <v>0.2926393186843389</v>
      </c>
      <c r="P27" s="70">
        <f t="shared" si="12"/>
        <v>0.29606776277575669</v>
      </c>
      <c r="Q27" s="70">
        <f t="shared" si="12"/>
        <v>0.29945558549168372</v>
      </c>
      <c r="R27" s="70">
        <f t="shared" si="12"/>
        <v>0.30280326812803815</v>
      </c>
      <c r="S27" s="70">
        <f t="shared" si="12"/>
        <v>0.30611128627817985</v>
      </c>
    </row>
    <row r="28" spans="2:21" x14ac:dyDescent="0.2">
      <c r="D28" s="18" t="s">
        <v>264</v>
      </c>
      <c r="I28" s="39">
        <v>-1621</v>
      </c>
      <c r="J28" s="39">
        <v>-1733</v>
      </c>
      <c r="K28" s="39">
        <v>-1802</v>
      </c>
      <c r="L28" s="39">
        <v>-1834</v>
      </c>
      <c r="M28" s="35">
        <f t="shared" ref="M28:S28" si="13">+L28*(1+M12)</f>
        <v>-1870.68</v>
      </c>
      <c r="N28" s="35">
        <f t="shared" si="13"/>
        <v>-1908.0936000000002</v>
      </c>
      <c r="O28" s="35">
        <f t="shared" si="13"/>
        <v>-1946.2554720000003</v>
      </c>
      <c r="P28" s="35">
        <f t="shared" si="13"/>
        <v>-1985.1805814400004</v>
      </c>
      <c r="Q28" s="35">
        <f t="shared" si="13"/>
        <v>-2024.8841930688004</v>
      </c>
      <c r="R28" s="35">
        <f t="shared" si="13"/>
        <v>-2065.3818769301765</v>
      </c>
      <c r="S28" s="35">
        <f t="shared" si="13"/>
        <v>-2106.6895144687801</v>
      </c>
      <c r="T28" s="44">
        <f>+IFERROR((L28/I28)^(1/(L$20-I$20))-1,0)</f>
        <v>4.2010524630774926E-2</v>
      </c>
      <c r="U28" s="44">
        <f>+IFERROR((S28/L28)^(1/(S$20-L$20))-1,0)</f>
        <v>2.0000000000000018E-2</v>
      </c>
    </row>
    <row r="29" spans="2:21" x14ac:dyDescent="0.2">
      <c r="D29" s="18" t="s">
        <v>265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</row>
    <row r="30" spans="2:21" x14ac:dyDescent="0.2">
      <c r="D30" s="40" t="s">
        <v>266</v>
      </c>
      <c r="I30" s="41">
        <f t="shared" ref="I30:S30" si="14">+I26+I28+I29</f>
        <v>7028</v>
      </c>
      <c r="J30" s="41">
        <f t="shared" si="14"/>
        <v>8117</v>
      </c>
      <c r="K30" s="41">
        <f t="shared" si="14"/>
        <v>8926</v>
      </c>
      <c r="L30" s="41">
        <f t="shared" si="14"/>
        <v>9433</v>
      </c>
      <c r="M30" s="41">
        <f t="shared" si="14"/>
        <v>10143.127139999995</v>
      </c>
      <c r="N30" s="41">
        <f t="shared" si="14"/>
        <v>10922.261526449996</v>
      </c>
      <c r="O30" s="41">
        <f t="shared" si="14"/>
        <v>11752.178795389118</v>
      </c>
      <c r="P30" s="41">
        <f t="shared" si="14"/>
        <v>12635.979588021728</v>
      </c>
      <c r="Q30" s="41">
        <f t="shared" si="14"/>
        <v>13576.947563817597</v>
      </c>
      <c r="R30" s="41">
        <f t="shared" si="14"/>
        <v>14578.559985258678</v>
      </c>
      <c r="S30" s="41">
        <f t="shared" si="14"/>
        <v>15644.498906557797</v>
      </c>
      <c r="T30" s="47">
        <f>+IFERROR((L30/I30)^(1/(L$20-I$20))-1,0)</f>
        <v>0.10307750263849003</v>
      </c>
      <c r="U30" s="47">
        <f>+IFERROR((S30/L30)^(1/(S$20-L$20))-1,0)</f>
        <v>7.4947869430764147E-2</v>
      </c>
    </row>
    <row r="31" spans="2:21" x14ac:dyDescent="0.2">
      <c r="D31" s="69" t="s">
        <v>267</v>
      </c>
      <c r="I31" s="70">
        <f t="shared" ref="I31:S31" si="15">+IFERROR(I30/I$21,0)</f>
        <v>0.21578801928213945</v>
      </c>
      <c r="J31" s="70">
        <f t="shared" si="15"/>
        <v>0.22580465685592679</v>
      </c>
      <c r="K31" s="70">
        <f t="shared" si="15"/>
        <v>0.23105197763512114</v>
      </c>
      <c r="L31" s="70">
        <f t="shared" si="15"/>
        <v>0.23662954043748746</v>
      </c>
      <c r="M31" s="70">
        <f t="shared" si="15"/>
        <v>0.24117846983059929</v>
      </c>
      <c r="N31" s="70">
        <f t="shared" si="15"/>
        <v>0.24616526824950699</v>
      </c>
      <c r="O31" s="70">
        <f t="shared" si="15"/>
        <v>0.25106151028709489</v>
      </c>
      <c r="P31" s="70">
        <f t="shared" si="15"/>
        <v>0.25586931295093307</v>
      </c>
      <c r="Q31" s="70">
        <f t="shared" si="15"/>
        <v>0.26059073352834716</v>
      </c>
      <c r="R31" s="70">
        <f t="shared" si="15"/>
        <v>0.26522777144310611</v>
      </c>
      <c r="S31" s="70">
        <f t="shared" si="15"/>
        <v>0.26978237005198963</v>
      </c>
    </row>
    <row r="32" spans="2:21" x14ac:dyDescent="0.2">
      <c r="D32" s="18" t="s">
        <v>268</v>
      </c>
      <c r="I32" s="71">
        <f t="shared" ref="I32:S32" si="16">+I49</f>
        <v>-1417</v>
      </c>
      <c r="J32" s="71">
        <f t="shared" si="16"/>
        <v>-1558</v>
      </c>
      <c r="K32" s="71">
        <f t="shared" si="16"/>
        <v>-1638</v>
      </c>
      <c r="L32" s="71">
        <f t="shared" si="16"/>
        <v>-1674</v>
      </c>
      <c r="M32" s="71">
        <f t="shared" si="16"/>
        <v>-1387.1469520000001</v>
      </c>
      <c r="N32" s="71">
        <f t="shared" si="16"/>
        <v>-1611.85493836</v>
      </c>
      <c r="O32" s="71">
        <f t="shared" si="16"/>
        <v>-1848.9218639697999</v>
      </c>
      <c r="P32" s="71">
        <f t="shared" si="16"/>
        <v>-2099.027470488139</v>
      </c>
      <c r="Q32" s="71">
        <f t="shared" si="16"/>
        <v>-2362.8888853649864</v>
      </c>
      <c r="R32" s="71">
        <f t="shared" si="16"/>
        <v>-2641.2626780600604</v>
      </c>
      <c r="S32" s="71">
        <f t="shared" si="16"/>
        <v>-2934.9470293533641</v>
      </c>
      <c r="T32" s="44">
        <f>+IFERROR((L32/I32)^(1/(L$20-I$20))-1,0)</f>
        <v>5.7130332855993782E-2</v>
      </c>
      <c r="U32" s="44">
        <f>+IFERROR((S32/L32)^(1/(S$20-L$20))-1,0)</f>
        <v>8.3515113253993967E-2</v>
      </c>
    </row>
    <row r="33" spans="2:21" x14ac:dyDescent="0.2">
      <c r="D33" s="40" t="s">
        <v>269</v>
      </c>
      <c r="I33" s="41">
        <f t="shared" ref="I33:S33" si="17">+I30+I32</f>
        <v>5611</v>
      </c>
      <c r="J33" s="41">
        <f t="shared" si="17"/>
        <v>6559</v>
      </c>
      <c r="K33" s="41">
        <f t="shared" si="17"/>
        <v>7288</v>
      </c>
      <c r="L33" s="41">
        <f t="shared" si="17"/>
        <v>7759</v>
      </c>
      <c r="M33" s="41">
        <f t="shared" si="17"/>
        <v>8755.9801879999941</v>
      </c>
      <c r="N33" s="41">
        <f t="shared" si="17"/>
        <v>9310.4065880899961</v>
      </c>
      <c r="O33" s="41">
        <f t="shared" si="17"/>
        <v>9903.2569314193188</v>
      </c>
      <c r="P33" s="41">
        <f t="shared" si="17"/>
        <v>10536.952117533589</v>
      </c>
      <c r="Q33" s="41">
        <f t="shared" si="17"/>
        <v>11214.058678452611</v>
      </c>
      <c r="R33" s="41">
        <f t="shared" si="17"/>
        <v>11937.297307198618</v>
      </c>
      <c r="S33" s="41">
        <f t="shared" si="17"/>
        <v>12709.551877204434</v>
      </c>
      <c r="T33" s="47">
        <f>+IFERROR((L33/I33)^(1/(L$20-I$20))-1,0)</f>
        <v>0.11409398049443942</v>
      </c>
      <c r="U33" s="47">
        <f>+IFERROR((S33/L33)^(1/(S$20-L$20))-1,0)</f>
        <v>7.3044625715014799E-2</v>
      </c>
    </row>
    <row r="36" spans="2:21" ht="13.95" customHeight="1" x14ac:dyDescent="0.2">
      <c r="C36" s="14" t="s">
        <v>270</v>
      </c>
      <c r="D36" s="14"/>
      <c r="E36" s="14"/>
      <c r="F36" s="14"/>
      <c r="G36" s="14"/>
      <c r="H36" s="14"/>
      <c r="I36" s="59" t="s">
        <v>25</v>
      </c>
      <c r="J36" s="59" t="s">
        <v>25</v>
      </c>
      <c r="K36" s="59" t="s">
        <v>25</v>
      </c>
      <c r="L36" s="59" t="s">
        <v>25</v>
      </c>
      <c r="M36" s="59" t="s">
        <v>25</v>
      </c>
      <c r="N36" s="59" t="s">
        <v>25</v>
      </c>
      <c r="O36" s="59" t="s">
        <v>25</v>
      </c>
      <c r="P36" s="59" t="s">
        <v>25</v>
      </c>
      <c r="Q36" s="59" t="s">
        <v>25</v>
      </c>
      <c r="R36" s="59" t="s">
        <v>25</v>
      </c>
      <c r="S36" s="59" t="s">
        <v>25</v>
      </c>
      <c r="T36" s="14"/>
      <c r="U36" s="14"/>
    </row>
    <row r="37" spans="2:21" ht="13.95" customHeight="1" x14ac:dyDescent="0.2">
      <c r="C37" s="14" t="s">
        <v>26</v>
      </c>
      <c r="D37" s="14" t="s">
        <v>238</v>
      </c>
      <c r="E37" s="14"/>
      <c r="F37" s="14"/>
      <c r="G37" s="14"/>
      <c r="H37" s="14"/>
      <c r="I37" s="50">
        <v>2022</v>
      </c>
      <c r="J37" s="50">
        <f t="shared" ref="J37:S37" si="18">+I37+1</f>
        <v>2023</v>
      </c>
      <c r="K37" s="50">
        <f t="shared" si="18"/>
        <v>2024</v>
      </c>
      <c r="L37" s="50">
        <f t="shared" si="18"/>
        <v>2025</v>
      </c>
      <c r="M37" s="51">
        <f t="shared" si="18"/>
        <v>2026</v>
      </c>
      <c r="N37" s="51">
        <f t="shared" si="18"/>
        <v>2027</v>
      </c>
      <c r="O37" s="51">
        <f t="shared" si="18"/>
        <v>2028</v>
      </c>
      <c r="P37" s="51">
        <f t="shared" si="18"/>
        <v>2029</v>
      </c>
      <c r="Q37" s="51">
        <f t="shared" si="18"/>
        <v>2030</v>
      </c>
      <c r="R37" s="51">
        <f t="shared" si="18"/>
        <v>2031</v>
      </c>
      <c r="S37" s="51">
        <f t="shared" si="18"/>
        <v>2032</v>
      </c>
      <c r="T37" s="14"/>
      <c r="U37" s="14"/>
    </row>
    <row r="38" spans="2:21" x14ac:dyDescent="0.2">
      <c r="B38" s="9">
        <v>3</v>
      </c>
      <c r="D38" s="16" t="s">
        <v>271</v>
      </c>
    </row>
    <row r="39" spans="2:21" x14ac:dyDescent="0.2">
      <c r="D39" s="18" t="s">
        <v>272</v>
      </c>
      <c r="I39" s="39">
        <v>3191</v>
      </c>
      <c r="J39" s="39">
        <v>2966</v>
      </c>
      <c r="K39" s="39">
        <v>3321</v>
      </c>
      <c r="L39" s="39">
        <v>3249</v>
      </c>
      <c r="M39" s="35">
        <f t="shared" ref="M39:S41" si="19">+M$21*M15</f>
        <v>3427.6063799999997</v>
      </c>
      <c r="N39" s="35">
        <f t="shared" si="19"/>
        <v>3616.1247309</v>
      </c>
      <c r="O39" s="35">
        <f t="shared" si="19"/>
        <v>3815.0115910994996</v>
      </c>
      <c r="P39" s="35">
        <f t="shared" si="19"/>
        <v>4024.8372286099716</v>
      </c>
      <c r="Q39" s="35">
        <f t="shared" si="19"/>
        <v>4246.2032761835198</v>
      </c>
      <c r="R39" s="35">
        <f t="shared" si="19"/>
        <v>4479.7444563736126</v>
      </c>
      <c r="S39" s="35">
        <f t="shared" si="19"/>
        <v>4726.1304014741618</v>
      </c>
    </row>
    <row r="40" spans="2:21" x14ac:dyDescent="0.2">
      <c r="D40" s="18" t="s">
        <v>273</v>
      </c>
      <c r="I40" s="39">
        <v>851</v>
      </c>
      <c r="J40" s="39">
        <v>1038</v>
      </c>
      <c r="K40" s="39">
        <v>1088</v>
      </c>
      <c r="L40" s="39">
        <v>1166</v>
      </c>
      <c r="M40" s="35">
        <f t="shared" si="19"/>
        <v>1228.0503839999999</v>
      </c>
      <c r="N40" s="35">
        <f t="shared" si="19"/>
        <v>1295.5931551199999</v>
      </c>
      <c r="O40" s="35">
        <f t="shared" si="19"/>
        <v>1366.8507786515997</v>
      </c>
      <c r="P40" s="35">
        <f t="shared" si="19"/>
        <v>1442.0275714774377</v>
      </c>
      <c r="Q40" s="35">
        <f t="shared" si="19"/>
        <v>1521.3390879086967</v>
      </c>
      <c r="R40" s="35">
        <f t="shared" si="19"/>
        <v>1605.0127377436747</v>
      </c>
      <c r="S40" s="35">
        <f t="shared" si="19"/>
        <v>1693.2884383195767</v>
      </c>
    </row>
    <row r="41" spans="2:21" x14ac:dyDescent="0.2">
      <c r="D41" s="18" t="s">
        <v>274</v>
      </c>
      <c r="I41" s="39">
        <v>-6561</v>
      </c>
      <c r="J41" s="39">
        <v>-7467</v>
      </c>
      <c r="K41" s="39">
        <v>-8590</v>
      </c>
      <c r="L41" s="39">
        <v>-8587</v>
      </c>
      <c r="M41" s="35">
        <f t="shared" si="19"/>
        <v>-9058.974408</v>
      </c>
      <c r="N41" s="35">
        <f t="shared" si="19"/>
        <v>-9557.2180004399997</v>
      </c>
      <c r="O41" s="35">
        <f t="shared" si="19"/>
        <v>-10082.864990464199</v>
      </c>
      <c r="P41" s="35">
        <f t="shared" si="19"/>
        <v>-10637.422564939729</v>
      </c>
      <c r="Q41" s="35">
        <f t="shared" si="19"/>
        <v>-11222.480806011414</v>
      </c>
      <c r="R41" s="35">
        <f t="shared" si="19"/>
        <v>-11839.717250342041</v>
      </c>
      <c r="S41" s="35">
        <f t="shared" si="19"/>
        <v>-12490.901699110851</v>
      </c>
    </row>
    <row r="42" spans="2:21" x14ac:dyDescent="0.2">
      <c r="D42" s="52" t="s">
        <v>275</v>
      </c>
      <c r="I42" s="53">
        <f t="shared" ref="I42:S42" si="20">+SUM(I39:I41)</f>
        <v>-2519</v>
      </c>
      <c r="J42" s="53">
        <f t="shared" si="20"/>
        <v>-3463</v>
      </c>
      <c r="K42" s="53">
        <f t="shared" si="20"/>
        <v>-4181</v>
      </c>
      <c r="L42" s="53">
        <f t="shared" si="20"/>
        <v>-4172</v>
      </c>
      <c r="M42" s="53">
        <f t="shared" si="20"/>
        <v>-4403.3176440000007</v>
      </c>
      <c r="N42" s="53">
        <f t="shared" si="20"/>
        <v>-4645.5001144199996</v>
      </c>
      <c r="O42" s="53">
        <f t="shared" si="20"/>
        <v>-4901.0026207130995</v>
      </c>
      <c r="P42" s="53">
        <f t="shared" si="20"/>
        <v>-5170.5577648523195</v>
      </c>
      <c r="Q42" s="53">
        <f t="shared" si="20"/>
        <v>-5454.9384419191974</v>
      </c>
      <c r="R42" s="53">
        <f t="shared" si="20"/>
        <v>-5754.9600562247533</v>
      </c>
      <c r="S42" s="53">
        <f t="shared" si="20"/>
        <v>-6071.4828593171123</v>
      </c>
    </row>
    <row r="43" spans="2:21" x14ac:dyDescent="0.2">
      <c r="D43" s="69" t="s">
        <v>276</v>
      </c>
      <c r="I43" s="70">
        <f t="shared" ref="I43:S43" si="21">+IFERROR(I42/I$21,0)</f>
        <v>-7.7343486137124259E-2</v>
      </c>
      <c r="J43" s="70">
        <f t="shared" si="21"/>
        <v>-9.6336272846134594E-2</v>
      </c>
      <c r="K43" s="70">
        <f t="shared" si="21"/>
        <v>-0.10822634085732036</v>
      </c>
      <c r="L43" s="70">
        <f t="shared" si="21"/>
        <v>-0.10465582982139274</v>
      </c>
      <c r="M43" s="70">
        <f t="shared" si="21"/>
        <v>-0.10470000000000003</v>
      </c>
      <c r="N43" s="70">
        <f t="shared" si="21"/>
        <v>-0.1047</v>
      </c>
      <c r="O43" s="70">
        <f t="shared" si="21"/>
        <v>-0.1047</v>
      </c>
      <c r="P43" s="70">
        <f t="shared" si="21"/>
        <v>-0.1047</v>
      </c>
      <c r="Q43" s="70">
        <f t="shared" si="21"/>
        <v>-0.10470000000000002</v>
      </c>
      <c r="R43" s="70">
        <f t="shared" si="21"/>
        <v>-0.10470000000000003</v>
      </c>
      <c r="S43" s="70">
        <f t="shared" si="21"/>
        <v>-0.1047</v>
      </c>
    </row>
    <row r="44" spans="2:21" x14ac:dyDescent="0.2">
      <c r="D44" s="40" t="s">
        <v>75</v>
      </c>
      <c r="I44" s="72">
        <v>0</v>
      </c>
      <c r="J44" s="41">
        <f t="shared" ref="J44:S44" si="22">+(I42-J42)</f>
        <v>944</v>
      </c>
      <c r="K44" s="41">
        <f t="shared" si="22"/>
        <v>718</v>
      </c>
      <c r="L44" s="41">
        <f t="shared" si="22"/>
        <v>-9</v>
      </c>
      <c r="M44" s="41">
        <f t="shared" si="22"/>
        <v>231.31764400000066</v>
      </c>
      <c r="N44" s="41">
        <f t="shared" si="22"/>
        <v>242.18247041999894</v>
      </c>
      <c r="O44" s="41">
        <f t="shared" si="22"/>
        <v>255.50250629309994</v>
      </c>
      <c r="P44" s="41">
        <f t="shared" si="22"/>
        <v>269.55514413921992</v>
      </c>
      <c r="Q44" s="41">
        <f t="shared" si="22"/>
        <v>284.38067706687798</v>
      </c>
      <c r="R44" s="41">
        <f t="shared" si="22"/>
        <v>300.02161430555589</v>
      </c>
      <c r="S44" s="41">
        <f t="shared" si="22"/>
        <v>316.52280309235903</v>
      </c>
    </row>
    <row r="46" spans="2:21" x14ac:dyDescent="0.2">
      <c r="B46" s="9">
        <v>4</v>
      </c>
      <c r="D46" s="16" t="s">
        <v>277</v>
      </c>
    </row>
    <row r="47" spans="2:21" x14ac:dyDescent="0.2">
      <c r="D47" s="18" t="s">
        <v>278</v>
      </c>
      <c r="I47" s="39">
        <v>8383</v>
      </c>
      <c r="J47" s="35">
        <f t="shared" ref="J47:S47" si="23">+I50</f>
        <v>8401</v>
      </c>
      <c r="K47" s="35">
        <f t="shared" si="23"/>
        <v>9560</v>
      </c>
      <c r="L47" s="35">
        <f t="shared" si="23"/>
        <v>11416</v>
      </c>
      <c r="M47" s="35">
        <f t="shared" si="23"/>
        <v>12778</v>
      </c>
      <c r="N47" s="35">
        <f t="shared" si="23"/>
        <v>13577.792088000002</v>
      </c>
      <c r="O47" s="35">
        <f t="shared" si="23"/>
        <v>14273.157836840002</v>
      </c>
      <c r="P47" s="35">
        <f t="shared" si="23"/>
        <v>14858.353797866204</v>
      </c>
      <c r="Q47" s="35">
        <f t="shared" si="23"/>
        <v>15327.320632748842</v>
      </c>
      <c r="R47" s="35">
        <f t="shared" si="23"/>
        <v>15673.665739550028</v>
      </c>
      <c r="S47" s="35">
        <f t="shared" si="23"/>
        <v>15890.64492322528</v>
      </c>
    </row>
    <row r="48" spans="2:21" x14ac:dyDescent="0.2">
      <c r="D48" s="18" t="s">
        <v>279</v>
      </c>
      <c r="I48" s="71">
        <f t="shared" ref="I48:S48" si="24">+I54</f>
        <v>1415</v>
      </c>
      <c r="J48" s="71">
        <f t="shared" si="24"/>
        <v>1872</v>
      </c>
      <c r="K48" s="71">
        <f t="shared" si="24"/>
        <v>2672</v>
      </c>
      <c r="L48" s="71">
        <f t="shared" si="24"/>
        <v>2712</v>
      </c>
      <c r="M48" s="71">
        <f t="shared" si="24"/>
        <v>2186.9390400000002</v>
      </c>
      <c r="N48" s="71">
        <f t="shared" si="24"/>
        <v>2307.2206872000002</v>
      </c>
      <c r="O48" s="71">
        <f t="shared" si="24"/>
        <v>2434.1178249959999</v>
      </c>
      <c r="P48" s="71">
        <f t="shared" si="24"/>
        <v>2567.9943053707793</v>
      </c>
      <c r="Q48" s="71">
        <f t="shared" si="24"/>
        <v>2709.2339921661724</v>
      </c>
      <c r="R48" s="71">
        <f t="shared" si="24"/>
        <v>2858.2418617353114</v>
      </c>
      <c r="S48" s="71">
        <f t="shared" si="24"/>
        <v>3015.4451641307533</v>
      </c>
    </row>
    <row r="49" spans="4:19" x14ac:dyDescent="0.2">
      <c r="D49" s="18" t="s">
        <v>280</v>
      </c>
      <c r="I49" s="39">
        <v>-1417</v>
      </c>
      <c r="J49" s="39">
        <v>-1558</v>
      </c>
      <c r="K49" s="39">
        <v>-1638</v>
      </c>
      <c r="L49" s="39">
        <v>-1674</v>
      </c>
      <c r="M49" s="35">
        <f t="shared" ref="M49:S49" si="25">+M57+M69</f>
        <v>-1387.1469520000001</v>
      </c>
      <c r="N49" s="35">
        <f t="shared" si="25"/>
        <v>-1611.85493836</v>
      </c>
      <c r="O49" s="35">
        <f t="shared" si="25"/>
        <v>-1848.9218639697999</v>
      </c>
      <c r="P49" s="35">
        <f t="shared" si="25"/>
        <v>-2099.027470488139</v>
      </c>
      <c r="Q49" s="35">
        <f t="shared" si="25"/>
        <v>-2362.8888853649864</v>
      </c>
      <c r="R49" s="35">
        <f t="shared" si="25"/>
        <v>-2641.2626780600604</v>
      </c>
      <c r="S49" s="35">
        <f t="shared" si="25"/>
        <v>-2934.9470293533641</v>
      </c>
    </row>
    <row r="50" spans="4:19" x14ac:dyDescent="0.2">
      <c r="D50" s="40" t="s">
        <v>281</v>
      </c>
      <c r="I50" s="73">
        <v>8401</v>
      </c>
      <c r="J50" s="73">
        <v>9560</v>
      </c>
      <c r="K50" s="73">
        <v>11416</v>
      </c>
      <c r="L50" s="73">
        <v>12778</v>
      </c>
      <c r="M50" s="41">
        <f t="shared" ref="M50:S50" si="26">+M47+M48+M49</f>
        <v>13577.792088000002</v>
      </c>
      <c r="N50" s="41">
        <f t="shared" si="26"/>
        <v>14273.157836840002</v>
      </c>
      <c r="O50" s="41">
        <f t="shared" si="26"/>
        <v>14858.353797866204</v>
      </c>
      <c r="P50" s="41">
        <f t="shared" si="26"/>
        <v>15327.320632748842</v>
      </c>
      <c r="Q50" s="41">
        <f t="shared" si="26"/>
        <v>15673.665739550028</v>
      </c>
      <c r="R50" s="41">
        <f t="shared" si="26"/>
        <v>15890.64492322528</v>
      </c>
      <c r="S50" s="41">
        <f t="shared" si="26"/>
        <v>15971.143058002668</v>
      </c>
    </row>
    <row r="52" spans="4:19" x14ac:dyDescent="0.2">
      <c r="D52" s="18" t="s">
        <v>282</v>
      </c>
      <c r="I52" s="39">
        <v>1050</v>
      </c>
      <c r="J52" s="39">
        <v>1250</v>
      </c>
      <c r="K52" s="39">
        <v>1450</v>
      </c>
      <c r="L52" s="39">
        <v>1480</v>
      </c>
      <c r="M52" s="35">
        <f t="shared" ref="M52:S52" si="27">+M21*M13</f>
        <v>1471.9782</v>
      </c>
      <c r="N52" s="35">
        <f t="shared" si="27"/>
        <v>1552.937001</v>
      </c>
      <c r="O52" s="35">
        <f t="shared" si="27"/>
        <v>1638.3485360549998</v>
      </c>
      <c r="P52" s="35">
        <f t="shared" si="27"/>
        <v>1728.4577055380246</v>
      </c>
      <c r="Q52" s="35">
        <f t="shared" si="27"/>
        <v>1823.5228793426159</v>
      </c>
      <c r="R52" s="35">
        <f t="shared" si="27"/>
        <v>1923.8166377064597</v>
      </c>
      <c r="S52" s="35">
        <f t="shared" si="27"/>
        <v>2029.6265527803148</v>
      </c>
    </row>
    <row r="53" spans="4:19" x14ac:dyDescent="0.2">
      <c r="D53" s="18" t="s">
        <v>283</v>
      </c>
      <c r="I53" s="39">
        <v>365</v>
      </c>
      <c r="J53" s="39">
        <v>622</v>
      </c>
      <c r="K53" s="39">
        <v>1222</v>
      </c>
      <c r="L53" s="39">
        <v>1232</v>
      </c>
      <c r="M53" s="35">
        <f t="shared" ref="M53:S53" si="28">+M21*M14</f>
        <v>714.96083999999996</v>
      </c>
      <c r="N53" s="35">
        <f t="shared" si="28"/>
        <v>754.28368620000003</v>
      </c>
      <c r="O53" s="35">
        <f t="shared" si="28"/>
        <v>795.7692889409999</v>
      </c>
      <c r="P53" s="35">
        <f t="shared" si="28"/>
        <v>839.53659983275486</v>
      </c>
      <c r="Q53" s="35">
        <f t="shared" si="28"/>
        <v>885.71111282355628</v>
      </c>
      <c r="R53" s="35">
        <f t="shared" si="28"/>
        <v>934.42522402885186</v>
      </c>
      <c r="S53" s="35">
        <f t="shared" si="28"/>
        <v>985.81861135043857</v>
      </c>
    </row>
    <row r="54" spans="4:19" x14ac:dyDescent="0.2">
      <c r="D54" s="40" t="s">
        <v>284</v>
      </c>
      <c r="I54" s="41">
        <f t="shared" ref="I54:S54" si="29">+I52+I53</f>
        <v>1415</v>
      </c>
      <c r="J54" s="41">
        <f t="shared" si="29"/>
        <v>1872</v>
      </c>
      <c r="K54" s="41">
        <f t="shared" si="29"/>
        <v>2672</v>
      </c>
      <c r="L54" s="41">
        <f t="shared" si="29"/>
        <v>2712</v>
      </c>
      <c r="M54" s="41">
        <f t="shared" si="29"/>
        <v>2186.9390400000002</v>
      </c>
      <c r="N54" s="41">
        <f t="shared" si="29"/>
        <v>2307.2206872000002</v>
      </c>
      <c r="O54" s="41">
        <f t="shared" si="29"/>
        <v>2434.1178249959999</v>
      </c>
      <c r="P54" s="41">
        <f t="shared" si="29"/>
        <v>2567.9943053707793</v>
      </c>
      <c r="Q54" s="41">
        <f t="shared" si="29"/>
        <v>2709.2339921661724</v>
      </c>
      <c r="R54" s="41">
        <f t="shared" si="29"/>
        <v>2858.2418617353114</v>
      </c>
      <c r="S54" s="41">
        <f t="shared" si="29"/>
        <v>3015.4451641307533</v>
      </c>
    </row>
    <row r="56" spans="4:19" x14ac:dyDescent="0.2">
      <c r="D56" s="18" t="s">
        <v>285</v>
      </c>
      <c r="M56" s="1">
        <f t="shared" ref="M56:S56" si="30">+L58</f>
        <v>12778</v>
      </c>
      <c r="N56" s="1">
        <f t="shared" si="30"/>
        <v>11500.2</v>
      </c>
      <c r="O56" s="1">
        <f t="shared" si="30"/>
        <v>10222.400000000001</v>
      </c>
      <c r="P56" s="1">
        <f t="shared" si="30"/>
        <v>8944.6000000000022</v>
      </c>
      <c r="Q56" s="1">
        <f t="shared" si="30"/>
        <v>7666.800000000002</v>
      </c>
      <c r="R56" s="1">
        <f t="shared" si="30"/>
        <v>6389.0000000000018</v>
      </c>
      <c r="S56" s="1">
        <f t="shared" si="30"/>
        <v>5111.2000000000016</v>
      </c>
    </row>
    <row r="57" spans="4:19" x14ac:dyDescent="0.2">
      <c r="D57" s="18" t="s">
        <v>286</v>
      </c>
      <c r="M57" s="1">
        <f t="shared" ref="M57:S57" si="31">-MIN(M56,$L$58/$E$59)</f>
        <v>-1277.8</v>
      </c>
      <c r="N57" s="1">
        <f t="shared" si="31"/>
        <v>-1277.8</v>
      </c>
      <c r="O57" s="1">
        <f t="shared" si="31"/>
        <v>-1277.8</v>
      </c>
      <c r="P57" s="1">
        <f t="shared" si="31"/>
        <v>-1277.8</v>
      </c>
      <c r="Q57" s="1">
        <f t="shared" si="31"/>
        <v>-1277.8</v>
      </c>
      <c r="R57" s="1">
        <f t="shared" si="31"/>
        <v>-1277.8</v>
      </c>
      <c r="S57" s="1">
        <f t="shared" si="31"/>
        <v>-1277.8</v>
      </c>
    </row>
    <row r="58" spans="4:19" x14ac:dyDescent="0.2">
      <c r="D58" s="16" t="s">
        <v>287</v>
      </c>
      <c r="L58" s="36">
        <f>+L50</f>
        <v>12778</v>
      </c>
      <c r="M58" s="36">
        <f t="shared" ref="M58:S58" si="32">+M56+M57</f>
        <v>11500.2</v>
      </c>
      <c r="N58" s="36">
        <f t="shared" si="32"/>
        <v>10222.400000000001</v>
      </c>
      <c r="O58" s="36">
        <f t="shared" si="32"/>
        <v>8944.6000000000022</v>
      </c>
      <c r="P58" s="36">
        <f t="shared" si="32"/>
        <v>7666.800000000002</v>
      </c>
      <c r="Q58" s="36">
        <f t="shared" si="32"/>
        <v>6389.0000000000018</v>
      </c>
      <c r="R58" s="36">
        <f t="shared" si="32"/>
        <v>5111.2000000000016</v>
      </c>
      <c r="S58" s="36">
        <f t="shared" si="32"/>
        <v>3833.4000000000015</v>
      </c>
    </row>
    <row r="59" spans="4:19" x14ac:dyDescent="0.2">
      <c r="D59" s="18" t="s">
        <v>288</v>
      </c>
      <c r="E59" s="74">
        <v>10</v>
      </c>
    </row>
    <row r="60" spans="4:19" x14ac:dyDescent="0.2">
      <c r="D60" s="18" t="s">
        <v>289</v>
      </c>
      <c r="E60" s="75">
        <v>0.5</v>
      </c>
    </row>
    <row r="61" spans="4:19" x14ac:dyDescent="0.2">
      <c r="G61" s="16" t="s">
        <v>290</v>
      </c>
      <c r="H61" s="76" t="s">
        <v>291</v>
      </c>
    </row>
    <row r="62" spans="4:19" x14ac:dyDescent="0.2">
      <c r="G62" s="77">
        <f>+M$20</f>
        <v>2026</v>
      </c>
      <c r="H62" s="71">
        <f>+M$54</f>
        <v>2186.9390400000002</v>
      </c>
      <c r="M62" s="35">
        <f>-(($H62/$E$59*$E$60))</f>
        <v>-109.34695200000002</v>
      </c>
      <c r="N62" s="35">
        <f>-(MIN(SUM($H62,$M62:M62),$H62/$E$59))</f>
        <v>-218.69390400000003</v>
      </c>
      <c r="O62" s="35">
        <f>-(MIN(SUM($H62,$M62:N62),$H62/$E$59))</f>
        <v>-218.69390400000003</v>
      </c>
      <c r="P62" s="35">
        <f>-(MIN(SUM($H62,$M62:O62),$H62/$E$59))</f>
        <v>-218.69390400000003</v>
      </c>
      <c r="Q62" s="35">
        <f>-(MIN(SUM($H62,$M62:P62),$H62/$E$59))</f>
        <v>-218.69390400000003</v>
      </c>
      <c r="R62" s="35">
        <f>-(MIN(SUM($H62,$M62:Q62),$H62/$E$59))</f>
        <v>-218.69390400000003</v>
      </c>
      <c r="S62" s="35">
        <f>-(MIN(SUM($H62,$M62:R62),$H62/$E$59))</f>
        <v>-218.69390400000003</v>
      </c>
    </row>
    <row r="63" spans="4:19" x14ac:dyDescent="0.2">
      <c r="G63" s="77">
        <f>+N$20</f>
        <v>2027</v>
      </c>
      <c r="H63" s="71">
        <f>+N$54</f>
        <v>2307.2206872000002</v>
      </c>
      <c r="M63" s="35">
        <v>0</v>
      </c>
      <c r="N63" s="35">
        <f>-(($H63/$E$59*$E$60))</f>
        <v>-115.36103436</v>
      </c>
      <c r="O63" s="35">
        <f>-(MIN(SUM($H63,$N63:N63),$H63/$E$59))</f>
        <v>-230.72206872000001</v>
      </c>
      <c r="P63" s="35">
        <f>-(MIN(SUM($H63,$N63:O63),$H63/$E$59))</f>
        <v>-230.72206872000001</v>
      </c>
      <c r="Q63" s="35">
        <f>-(MIN(SUM($H63,$N63:P63),$H63/$E$59))</f>
        <v>-230.72206872000001</v>
      </c>
      <c r="R63" s="35">
        <f>-(MIN(SUM($H63,$N63:Q63),$H63/$E$59))</f>
        <v>-230.72206872000001</v>
      </c>
      <c r="S63" s="35">
        <f>-(MIN(SUM($H63,$N63:R63),$H63/$E$59))</f>
        <v>-230.72206872000001</v>
      </c>
    </row>
    <row r="64" spans="4:19" x14ac:dyDescent="0.2">
      <c r="G64" s="77">
        <f>+O$20</f>
        <v>2028</v>
      </c>
      <c r="H64" s="71">
        <f>+O$54</f>
        <v>2434.1178249959999</v>
      </c>
      <c r="M64" s="35">
        <v>0</v>
      </c>
      <c r="N64" s="35">
        <v>0</v>
      </c>
      <c r="O64" s="35">
        <f>-(($H64/$E$59*$E$60))</f>
        <v>-121.70589124979999</v>
      </c>
      <c r="P64" s="35">
        <f>-(MIN(SUM($H64,$O64:O64),$H64/$E$59))</f>
        <v>-243.41178249959998</v>
      </c>
      <c r="Q64" s="35">
        <f>-(MIN(SUM($H64,$O64:P64),$H64/$E$59))</f>
        <v>-243.41178249959998</v>
      </c>
      <c r="R64" s="35">
        <f>-(MIN(SUM($H64,$O64:Q64),$H64/$E$59))</f>
        <v>-243.41178249959998</v>
      </c>
      <c r="S64" s="35">
        <f>-(MIN(SUM($H64,$O64:R64),$H64/$E$59))</f>
        <v>-243.41178249959998</v>
      </c>
    </row>
    <row r="65" spans="7:19" x14ac:dyDescent="0.2">
      <c r="G65" s="77">
        <f>+P$20</f>
        <v>2029</v>
      </c>
      <c r="H65" s="71">
        <f>+P$54</f>
        <v>2567.9943053707793</v>
      </c>
      <c r="M65" s="35">
        <v>0</v>
      </c>
      <c r="N65" s="35">
        <v>0</v>
      </c>
      <c r="O65" s="35">
        <v>0</v>
      </c>
      <c r="P65" s="35">
        <f>-(($H65/$E$59*$E$60))</f>
        <v>-128.39971526853896</v>
      </c>
      <c r="Q65" s="35">
        <f>-(MIN(SUM($H65,$P65:P65),$H65/$E$59))</f>
        <v>-256.79943053707791</v>
      </c>
      <c r="R65" s="35">
        <f>-(MIN(SUM($H65,$P65:Q65),$H65/$E$59))</f>
        <v>-256.79943053707791</v>
      </c>
      <c r="S65" s="35">
        <f>-(MIN(SUM($H65,$P65:R65),$H65/$E$59))</f>
        <v>-256.79943053707791</v>
      </c>
    </row>
    <row r="66" spans="7:19" x14ac:dyDescent="0.2">
      <c r="G66" s="77">
        <f>+Q$20</f>
        <v>2030</v>
      </c>
      <c r="H66" s="71">
        <f>+Q$54</f>
        <v>2709.2339921661724</v>
      </c>
      <c r="M66" s="35">
        <v>0</v>
      </c>
      <c r="N66" s="35">
        <v>0</v>
      </c>
      <c r="O66" s="35">
        <v>0</v>
      </c>
      <c r="P66" s="35">
        <v>0</v>
      </c>
      <c r="Q66" s="35">
        <f>-(($H66/$E$59*$E$60))</f>
        <v>-135.46169960830861</v>
      </c>
      <c r="R66" s="35">
        <f>-(MIN(SUM($H66,$Q66:Q66),$H66/$E$59))</f>
        <v>-270.92339921661721</v>
      </c>
      <c r="S66" s="35">
        <f>-(MIN(SUM($H66,$Q66:R66),$H66/$E$59))</f>
        <v>-270.92339921661721</v>
      </c>
    </row>
    <row r="67" spans="7:19" x14ac:dyDescent="0.2">
      <c r="G67" s="77">
        <f>+R$20</f>
        <v>2031</v>
      </c>
      <c r="H67" s="71">
        <f>+R$54</f>
        <v>2858.2418617353114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f>-(($H67/$E$59*$E$60))</f>
        <v>-142.91209308676557</v>
      </c>
      <c r="S67" s="35">
        <f>-(MIN(SUM($H67,$R67:R67),$H67/$E$59))</f>
        <v>-285.82418617353113</v>
      </c>
    </row>
    <row r="68" spans="7:19" x14ac:dyDescent="0.2">
      <c r="G68" s="77">
        <f>+S$20</f>
        <v>2032</v>
      </c>
      <c r="H68" s="71">
        <f>+S$54</f>
        <v>3015.4451641307533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f>-(($H68/$E$59*$E$60))</f>
        <v>-150.77225820653766</v>
      </c>
    </row>
    <row r="69" spans="7:19" x14ac:dyDescent="0.2">
      <c r="G69" s="52" t="s">
        <v>292</v>
      </c>
      <c r="H69" s="52"/>
      <c r="I69" s="52"/>
      <c r="J69" s="52"/>
      <c r="K69" s="52"/>
      <c r="L69" s="52"/>
      <c r="M69" s="53">
        <f t="shared" ref="M69:S69" si="33">SUM(M62:M68)</f>
        <v>-109.34695200000002</v>
      </c>
      <c r="N69" s="53">
        <f t="shared" si="33"/>
        <v>-334.05493836000005</v>
      </c>
      <c r="O69" s="53">
        <f t="shared" si="33"/>
        <v>-571.12186396979996</v>
      </c>
      <c r="P69" s="53">
        <f t="shared" si="33"/>
        <v>-821.22747048813903</v>
      </c>
      <c r="Q69" s="53">
        <f t="shared" si="33"/>
        <v>-1085.0888853649865</v>
      </c>
      <c r="R69" s="53">
        <f t="shared" si="33"/>
        <v>-1363.4626780600606</v>
      </c>
      <c r="S69" s="53">
        <f t="shared" si="33"/>
        <v>-1657.1470293533639</v>
      </c>
    </row>
  </sheetData>
  <dataValidations count="1">
    <dataValidation type="list" sqref="F8" xr:uid="{00000000-0002-0000-0200-000000000000}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9"/>
  <sheetViews>
    <sheetView showGridLines="0" topLeftCell="A84" workbookViewId="0">
      <selection activeCell="F87" sqref="F87"/>
    </sheetView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50" customWidth="1"/>
    <col min="5" max="6" width="12" customWidth="1"/>
    <col min="7" max="7" width="14.42578125" bestFit="1" customWidth="1"/>
    <col min="8" max="13" width="12" customWidth="1"/>
  </cols>
  <sheetData>
    <row r="1" spans="1:13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5" t="s">
        <v>1</v>
      </c>
    </row>
    <row r="2" spans="1:13" ht="16.05" customHeight="1" x14ac:dyDescent="0.25">
      <c r="A2" s="6" t="s">
        <v>2</v>
      </c>
      <c r="B2" s="6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16.05" customHeight="1" x14ac:dyDescent="0.2">
      <c r="A4" s="12" t="s">
        <v>4</v>
      </c>
      <c r="B4" s="12" t="s">
        <v>4</v>
      </c>
      <c r="C4" s="13" t="s">
        <v>5</v>
      </c>
      <c r="D4" s="13"/>
      <c r="E4" s="13"/>
      <c r="F4" s="13"/>
      <c r="G4" s="13"/>
      <c r="H4" s="13"/>
      <c r="I4" s="13"/>
      <c r="J4" s="13"/>
      <c r="K4" s="13"/>
      <c r="L4" s="13"/>
      <c r="M4" s="13"/>
    </row>
    <row r="6" spans="1:13" x14ac:dyDescent="0.2">
      <c r="B6" s="9">
        <v>4</v>
      </c>
      <c r="D6" s="14" t="s">
        <v>6</v>
      </c>
      <c r="E6" s="15" t="s">
        <v>7</v>
      </c>
      <c r="F6" s="15" t="s">
        <v>8</v>
      </c>
      <c r="G6" s="15" t="s">
        <v>9</v>
      </c>
      <c r="H6" s="59" t="s">
        <v>10</v>
      </c>
      <c r="I6" s="15" t="s">
        <v>11</v>
      </c>
      <c r="J6" s="15" t="s">
        <v>12</v>
      </c>
      <c r="K6" s="14"/>
      <c r="L6" s="14"/>
      <c r="M6" s="15" t="s">
        <v>13</v>
      </c>
    </row>
    <row r="7" spans="1:13" x14ac:dyDescent="0.2">
      <c r="D7" s="16" t="s">
        <v>14</v>
      </c>
      <c r="E7" s="48">
        <f>+(J8*E8+J9*E9+J10*E10+J11*E11)/J7</f>
        <v>6.8543445670951095E-2</v>
      </c>
      <c r="F7" s="78">
        <v>3.354E-2</v>
      </c>
      <c r="J7" s="36">
        <f>+SUM(J8:J11)</f>
        <v>76670.850996544003</v>
      </c>
      <c r="M7" s="79">
        <f>+(J8*M8+J9*M9+J10*M10+J11*M11)/J7</f>
        <v>6.6281885666726073</v>
      </c>
    </row>
    <row r="8" spans="1:13" x14ac:dyDescent="0.2">
      <c r="D8" s="18" t="s">
        <v>15</v>
      </c>
      <c r="E8" s="48">
        <f>+$F$7+G8</f>
        <v>5.604E-2</v>
      </c>
      <c r="F8" s="80">
        <v>2</v>
      </c>
      <c r="G8" s="38">
        <v>2.2499999999999999E-2</v>
      </c>
      <c r="H8" s="81">
        <v>0</v>
      </c>
      <c r="I8" s="74">
        <v>7</v>
      </c>
      <c r="J8" s="1">
        <f>'LBO Summary'!F25</f>
        <v>18866</v>
      </c>
      <c r="M8" s="79">
        <f>+F25*1+G25*2+H25*3+I25*4+J25*5+K25*6+L25*7</f>
        <v>4.5499999999999989</v>
      </c>
    </row>
    <row r="9" spans="1:13" x14ac:dyDescent="0.2">
      <c r="D9" s="18" t="s">
        <v>16</v>
      </c>
      <c r="E9" s="48">
        <f>+$F$7+G9</f>
        <v>6.6040000000000001E-2</v>
      </c>
      <c r="F9" s="80">
        <v>3.5</v>
      </c>
      <c r="G9" s="38">
        <v>3.2500000000000001E-2</v>
      </c>
      <c r="H9" s="81">
        <v>0</v>
      </c>
      <c r="I9" s="74">
        <v>7</v>
      </c>
      <c r="J9" s="1">
        <f>'LBO Summary'!F26</f>
        <v>33015.5</v>
      </c>
      <c r="M9" s="79">
        <f>+I9</f>
        <v>7</v>
      </c>
    </row>
    <row r="10" spans="1:13" x14ac:dyDescent="0.2">
      <c r="D10" s="18" t="s">
        <v>17</v>
      </c>
      <c r="E10" s="48">
        <f>10.5%</f>
        <v>0.105</v>
      </c>
      <c r="F10" s="80">
        <v>1.5</v>
      </c>
      <c r="G10" s="38">
        <f>E10-F7</f>
        <v>7.1459999999999996E-2</v>
      </c>
      <c r="H10" s="82">
        <v>1</v>
      </c>
      <c r="I10" s="74">
        <v>7.5</v>
      </c>
      <c r="J10" s="1">
        <f>'LBO Summary'!F27</f>
        <v>14149.5</v>
      </c>
      <c r="M10" s="79">
        <f>+I10</f>
        <v>7.5</v>
      </c>
    </row>
    <row r="11" spans="1:13" x14ac:dyDescent="0.2">
      <c r="D11" s="18" t="s">
        <v>18</v>
      </c>
      <c r="E11" s="48">
        <f>+G11</f>
        <v>0.05</v>
      </c>
      <c r="F11" s="80">
        <f>'LBO Summary'!F13*0.055/'LBO Summary'!F7</f>
        <v>1.127939255437719</v>
      </c>
      <c r="G11" s="38">
        <v>0.05</v>
      </c>
      <c r="H11" s="82">
        <v>1</v>
      </c>
      <c r="I11" s="74">
        <v>8</v>
      </c>
      <c r="J11" s="1">
        <f>'LBO Summary'!F28</f>
        <v>10639.850996544003</v>
      </c>
      <c r="M11" s="79">
        <f>+I11</f>
        <v>8</v>
      </c>
    </row>
    <row r="12" spans="1:13" x14ac:dyDescent="0.2">
      <c r="D12" s="18" t="s">
        <v>19</v>
      </c>
      <c r="E12" s="75">
        <v>0</v>
      </c>
    </row>
    <row r="13" spans="1:13" x14ac:dyDescent="0.2">
      <c r="D13" s="16" t="s">
        <v>20</v>
      </c>
      <c r="E13" s="83">
        <v>0.85</v>
      </c>
    </row>
    <row r="14" spans="1:13" x14ac:dyDescent="0.2">
      <c r="D14" s="16" t="s">
        <v>21</v>
      </c>
      <c r="E14" s="84">
        <v>1000</v>
      </c>
      <c r="G14" s="38">
        <v>0.02</v>
      </c>
    </row>
    <row r="15" spans="1:13" x14ac:dyDescent="0.2">
      <c r="D15" s="18" t="s">
        <v>22</v>
      </c>
      <c r="E15" s="48">
        <f>+$F$7+G14</f>
        <v>5.3540000000000004E-2</v>
      </c>
      <c r="G15" s="78">
        <v>7.4999999999999997E-3</v>
      </c>
    </row>
    <row r="16" spans="1:13" x14ac:dyDescent="0.2">
      <c r="D16" s="16" t="s">
        <v>23</v>
      </c>
      <c r="E16" s="83">
        <v>0.25</v>
      </c>
      <c r="G16" s="85">
        <v>1.25</v>
      </c>
    </row>
    <row r="18" spans="3:13" ht="13.95" customHeight="1" x14ac:dyDescent="0.2">
      <c r="C18" s="14" t="s">
        <v>24</v>
      </c>
      <c r="D18" s="14"/>
      <c r="E18" s="59" t="s">
        <v>25</v>
      </c>
      <c r="F18" s="59" t="s">
        <v>25</v>
      </c>
      <c r="G18" s="59" t="s">
        <v>25</v>
      </c>
      <c r="H18" s="59" t="s">
        <v>25</v>
      </c>
      <c r="I18" s="59" t="s">
        <v>25</v>
      </c>
      <c r="J18" s="59" t="s">
        <v>25</v>
      </c>
      <c r="K18" s="59" t="s">
        <v>25</v>
      </c>
      <c r="L18" s="59" t="s">
        <v>25</v>
      </c>
      <c r="M18" s="14"/>
    </row>
    <row r="19" spans="3:13" ht="13.95" customHeight="1" x14ac:dyDescent="0.2">
      <c r="C19" s="14" t="s">
        <v>26</v>
      </c>
      <c r="D19" s="14" t="s">
        <v>27</v>
      </c>
      <c r="E19" s="50">
        <v>2025</v>
      </c>
      <c r="F19" s="51">
        <f t="shared" ref="F19:L19" si="0">+E19+1</f>
        <v>2026</v>
      </c>
      <c r="G19" s="51">
        <f t="shared" si="0"/>
        <v>2027</v>
      </c>
      <c r="H19" s="51">
        <f t="shared" si="0"/>
        <v>2028</v>
      </c>
      <c r="I19" s="51">
        <f t="shared" si="0"/>
        <v>2029</v>
      </c>
      <c r="J19" s="51">
        <f t="shared" si="0"/>
        <v>2030</v>
      </c>
      <c r="K19" s="51">
        <f t="shared" si="0"/>
        <v>2031</v>
      </c>
      <c r="L19" s="51">
        <f t="shared" si="0"/>
        <v>2032</v>
      </c>
      <c r="M19" s="14"/>
    </row>
    <row r="20" spans="3:13" x14ac:dyDescent="0.2">
      <c r="D20" s="16" t="s">
        <v>28</v>
      </c>
    </row>
    <row r="21" spans="3:13" x14ac:dyDescent="0.2">
      <c r="D21" s="18" t="s">
        <v>29</v>
      </c>
      <c r="E21" s="1">
        <v>0</v>
      </c>
      <c r="F21" s="1">
        <f t="shared" ref="F21:L21" si="1">+E24</f>
        <v>18866</v>
      </c>
      <c r="G21" s="1">
        <f t="shared" si="1"/>
        <v>17922.7</v>
      </c>
      <c r="H21" s="1">
        <f t="shared" si="1"/>
        <v>16036.1</v>
      </c>
      <c r="I21" s="1">
        <f t="shared" si="1"/>
        <v>13206.2</v>
      </c>
      <c r="J21" s="1">
        <f t="shared" si="1"/>
        <v>10376.300000000001</v>
      </c>
      <c r="K21" s="1">
        <f t="shared" si="1"/>
        <v>6603.1</v>
      </c>
      <c r="L21" s="1">
        <f t="shared" si="1"/>
        <v>2829.9</v>
      </c>
    </row>
    <row r="22" spans="3:13" x14ac:dyDescent="0.2">
      <c r="D22" s="18" t="s">
        <v>30</v>
      </c>
      <c r="E22" s="71">
        <f>+J8</f>
        <v>18866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3:13" x14ac:dyDescent="0.2">
      <c r="D23" s="18" t="s">
        <v>31</v>
      </c>
      <c r="E23" s="1">
        <v>0</v>
      </c>
      <c r="F23" s="1">
        <f t="shared" ref="F23:L23" si="2">-MIN(F21,$E$24*F$25)</f>
        <v>-943.30000000000007</v>
      </c>
      <c r="G23" s="1">
        <f t="shared" si="2"/>
        <v>-1886.6000000000001</v>
      </c>
      <c r="H23" s="1">
        <f t="shared" si="2"/>
        <v>-2829.9</v>
      </c>
      <c r="I23" s="1">
        <f t="shared" si="2"/>
        <v>-2829.9</v>
      </c>
      <c r="J23" s="1">
        <f t="shared" si="2"/>
        <v>-3773.2000000000003</v>
      </c>
      <c r="K23" s="1">
        <f t="shared" si="2"/>
        <v>-3773.2000000000003</v>
      </c>
      <c r="L23" s="1">
        <f t="shared" si="2"/>
        <v>-2829.8999999999983</v>
      </c>
    </row>
    <row r="24" spans="3:13" x14ac:dyDescent="0.2">
      <c r="D24" s="52" t="s">
        <v>32</v>
      </c>
      <c r="E24" s="53">
        <f t="shared" ref="E24:L24" si="3">+SUM(E21:E23)</f>
        <v>18866</v>
      </c>
      <c r="F24" s="53">
        <f t="shared" si="3"/>
        <v>17922.7</v>
      </c>
      <c r="G24" s="53">
        <f t="shared" si="3"/>
        <v>16036.1</v>
      </c>
      <c r="H24" s="53">
        <f t="shared" si="3"/>
        <v>13206.2</v>
      </c>
      <c r="I24" s="53">
        <f t="shared" si="3"/>
        <v>10376.300000000001</v>
      </c>
      <c r="J24" s="53">
        <f t="shared" si="3"/>
        <v>6603.1</v>
      </c>
      <c r="K24" s="53">
        <f t="shared" si="3"/>
        <v>2829.9</v>
      </c>
      <c r="L24" s="53">
        <f t="shared" si="3"/>
        <v>0</v>
      </c>
    </row>
    <row r="25" spans="3:13" x14ac:dyDescent="0.2">
      <c r="D25" s="69" t="s">
        <v>33</v>
      </c>
      <c r="F25" s="86">
        <v>0.05</v>
      </c>
      <c r="G25" s="86">
        <v>0.1</v>
      </c>
      <c r="H25" s="86">
        <v>0.15</v>
      </c>
      <c r="I25" s="86">
        <v>0.15</v>
      </c>
      <c r="J25" s="86">
        <f>20%</f>
        <v>0.2</v>
      </c>
      <c r="K25" s="86">
        <v>0.2</v>
      </c>
      <c r="L25" s="86">
        <f>1-SUM(F25:K25)</f>
        <v>0.14999999999999991</v>
      </c>
      <c r="M25" s="2">
        <f>+SUM(F25:L25)-1</f>
        <v>0</v>
      </c>
    </row>
    <row r="26" spans="3:13" x14ac:dyDescent="0.2">
      <c r="D26" s="18" t="s">
        <v>34</v>
      </c>
      <c r="F26" s="1">
        <f t="shared" ref="F26:L26" si="4">-$E$8*AVERAGE(F21,F24)</f>
        <v>-1030.8193739999999</v>
      </c>
      <c r="G26" s="1">
        <f t="shared" si="4"/>
        <v>-951.52557600000011</v>
      </c>
      <c r="H26" s="1">
        <f t="shared" si="4"/>
        <v>-819.36924600000009</v>
      </c>
      <c r="I26" s="1">
        <f t="shared" si="4"/>
        <v>-660.78165000000001</v>
      </c>
      <c r="J26" s="1">
        <f t="shared" si="4"/>
        <v>-475.76278800000006</v>
      </c>
      <c r="K26" s="1">
        <f t="shared" si="4"/>
        <v>-264.31265999999999</v>
      </c>
      <c r="L26" s="1">
        <f t="shared" si="4"/>
        <v>-79.293797999999995</v>
      </c>
    </row>
    <row r="28" spans="3:13" x14ac:dyDescent="0.2">
      <c r="D28" s="16" t="s">
        <v>16</v>
      </c>
    </row>
    <row r="29" spans="3:13" x14ac:dyDescent="0.2">
      <c r="D29" s="18" t="s">
        <v>35</v>
      </c>
      <c r="E29" s="1">
        <v>0</v>
      </c>
      <c r="F29" s="1">
        <f t="shared" ref="F29:L29" si="5">+E34</f>
        <v>33015.5</v>
      </c>
      <c r="G29" s="1">
        <f t="shared" si="5"/>
        <v>30807.810097275003</v>
      </c>
      <c r="H29" s="1">
        <f t="shared" si="5"/>
        <v>28378.331377905131</v>
      </c>
      <c r="I29" s="1">
        <f t="shared" si="5"/>
        <v>25932.86442720424</v>
      </c>
      <c r="J29" s="1">
        <f t="shared" si="5"/>
        <v>22641.86346232365</v>
      </c>
      <c r="K29" s="1">
        <f t="shared" si="5"/>
        <v>19075.362001552887</v>
      </c>
      <c r="L29" s="1">
        <f t="shared" si="5"/>
        <v>14439.427615597322</v>
      </c>
    </row>
    <row r="30" spans="3:13" x14ac:dyDescent="0.2">
      <c r="D30" s="18" t="s">
        <v>30</v>
      </c>
      <c r="E30" s="71">
        <f>+J9</f>
        <v>33015.5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3:13" x14ac:dyDescent="0.2">
      <c r="D31" s="18" t="s">
        <v>36</v>
      </c>
      <c r="E31" s="1">
        <v>0</v>
      </c>
      <c r="F31" s="1">
        <f t="shared" ref="F31:L31" si="6">-MIN(F29,$E$34*F$35)</f>
        <v>0</v>
      </c>
      <c r="G31" s="1">
        <f t="shared" si="6"/>
        <v>0</v>
      </c>
      <c r="H31" s="1">
        <f t="shared" si="6"/>
        <v>0</v>
      </c>
      <c r="I31" s="1">
        <f t="shared" si="6"/>
        <v>0</v>
      </c>
      <c r="J31" s="1">
        <f t="shared" si="6"/>
        <v>0</v>
      </c>
      <c r="K31" s="1">
        <f t="shared" si="6"/>
        <v>0</v>
      </c>
      <c r="L31" s="1">
        <f t="shared" si="6"/>
        <v>0</v>
      </c>
    </row>
    <row r="32" spans="3:13" x14ac:dyDescent="0.2">
      <c r="D32" s="69" t="s">
        <v>37</v>
      </c>
      <c r="E32" s="1">
        <f t="shared" ref="E32:L32" si="7">+SUM(E29:E31)</f>
        <v>33015.5</v>
      </c>
      <c r="F32" s="87">
        <f t="shared" si="7"/>
        <v>33015.5</v>
      </c>
      <c r="G32" s="87">
        <f t="shared" si="7"/>
        <v>30807.810097275003</v>
      </c>
      <c r="H32" s="87">
        <f t="shared" si="7"/>
        <v>28378.331377905131</v>
      </c>
      <c r="I32" s="87">
        <f t="shared" si="7"/>
        <v>25932.86442720424</v>
      </c>
      <c r="J32" s="87">
        <f t="shared" si="7"/>
        <v>22641.86346232365</v>
      </c>
      <c r="K32" s="87">
        <f t="shared" si="7"/>
        <v>19075.362001552887</v>
      </c>
      <c r="L32" s="87">
        <f t="shared" si="7"/>
        <v>14439.427615597322</v>
      </c>
    </row>
    <row r="33" spans="4:12" x14ac:dyDescent="0.2">
      <c r="D33" s="18" t="s">
        <v>38</v>
      </c>
      <c r="E33" s="1">
        <v>0</v>
      </c>
      <c r="F33" s="1">
        <f t="shared" ref="F33:L33" si="8">-MIN(F32,MAX(0,F87+F88)*$E$13)</f>
        <v>-2207.6899027249974</v>
      </c>
      <c r="G33" s="1">
        <f t="shared" si="8"/>
        <v>-2429.478719369873</v>
      </c>
      <c r="H33" s="1">
        <f t="shared" si="8"/>
        <v>-2445.4669507008907</v>
      </c>
      <c r="I33" s="1">
        <f t="shared" si="8"/>
        <v>-3291.0009648805917</v>
      </c>
      <c r="J33" s="1">
        <f t="shared" si="8"/>
        <v>-3566.5014607707631</v>
      </c>
      <c r="K33" s="1">
        <f t="shared" si="8"/>
        <v>-4635.9343859555647</v>
      </c>
      <c r="L33" s="1">
        <f t="shared" si="8"/>
        <v>-6705.954694898006</v>
      </c>
    </row>
    <row r="34" spans="4:12" x14ac:dyDescent="0.2">
      <c r="D34" s="52" t="s">
        <v>39</v>
      </c>
      <c r="E34" s="53">
        <f t="shared" ref="E34:L34" si="9">+E32+E33</f>
        <v>33015.5</v>
      </c>
      <c r="F34" s="53">
        <f t="shared" si="9"/>
        <v>30807.810097275003</v>
      </c>
      <c r="G34" s="53">
        <f t="shared" si="9"/>
        <v>28378.331377905131</v>
      </c>
      <c r="H34" s="53">
        <f t="shared" si="9"/>
        <v>25932.86442720424</v>
      </c>
      <c r="I34" s="53">
        <f t="shared" si="9"/>
        <v>22641.86346232365</v>
      </c>
      <c r="J34" s="53">
        <f t="shared" si="9"/>
        <v>19075.362001552887</v>
      </c>
      <c r="K34" s="53">
        <f t="shared" si="9"/>
        <v>14439.427615597322</v>
      </c>
      <c r="L34" s="53">
        <f t="shared" si="9"/>
        <v>7733.4729206993161</v>
      </c>
    </row>
    <row r="35" spans="4:12" x14ac:dyDescent="0.2">
      <c r="D35" s="69" t="s">
        <v>40</v>
      </c>
      <c r="F35" s="2">
        <f t="shared" ref="F35:L35" si="10">+$E$12</f>
        <v>0</v>
      </c>
      <c r="G35" s="2">
        <f t="shared" si="10"/>
        <v>0</v>
      </c>
      <c r="H35" s="2">
        <f t="shared" si="10"/>
        <v>0</v>
      </c>
      <c r="I35" s="2">
        <f t="shared" si="10"/>
        <v>0</v>
      </c>
      <c r="J35" s="2">
        <f t="shared" si="10"/>
        <v>0</v>
      </c>
      <c r="K35" s="2">
        <f t="shared" si="10"/>
        <v>0</v>
      </c>
      <c r="L35" s="2">
        <f t="shared" si="10"/>
        <v>0</v>
      </c>
    </row>
    <row r="36" spans="4:12" x14ac:dyDescent="0.2">
      <c r="D36" s="18" t="s">
        <v>41</v>
      </c>
      <c r="F36" s="1">
        <f t="shared" ref="F36:L36" si="11">-$E$9*AVERAGE(F29,F32)</f>
        <v>-2180.3436200000001</v>
      </c>
      <c r="G36" s="1">
        <f t="shared" si="11"/>
        <v>-2034.5477788240412</v>
      </c>
      <c r="H36" s="1">
        <f t="shared" si="11"/>
        <v>-1874.1050041968549</v>
      </c>
      <c r="I36" s="1">
        <f t="shared" si="11"/>
        <v>-1712.606366772568</v>
      </c>
      <c r="J36" s="1">
        <f t="shared" si="11"/>
        <v>-1495.268663051854</v>
      </c>
      <c r="K36" s="1">
        <f t="shared" si="11"/>
        <v>-1259.7369065825526</v>
      </c>
      <c r="L36" s="1">
        <f t="shared" si="11"/>
        <v>-953.57979973404713</v>
      </c>
    </row>
    <row r="38" spans="4:12" x14ac:dyDescent="0.2">
      <c r="D38" s="16" t="s">
        <v>42</v>
      </c>
    </row>
    <row r="39" spans="4:12" x14ac:dyDescent="0.2">
      <c r="D39" s="18" t="s">
        <v>43</v>
      </c>
      <c r="E39" s="1">
        <v>0</v>
      </c>
      <c r="F39" s="1">
        <f t="shared" ref="F39:L39" si="12">+E43</f>
        <v>14149.5</v>
      </c>
      <c r="G39" s="1">
        <f t="shared" si="12"/>
        <v>15635.1975</v>
      </c>
      <c r="H39" s="1">
        <f t="shared" si="12"/>
        <v>17276.8932375</v>
      </c>
      <c r="I39" s="1">
        <f t="shared" si="12"/>
        <v>19090.967027437502</v>
      </c>
      <c r="J39" s="1">
        <f t="shared" si="12"/>
        <v>21095.518565318438</v>
      </c>
      <c r="K39" s="1">
        <f t="shared" si="12"/>
        <v>23310.548014676875</v>
      </c>
      <c r="L39" s="1">
        <f t="shared" si="12"/>
        <v>25758.155556217946</v>
      </c>
    </row>
    <row r="40" spans="4:12" x14ac:dyDescent="0.2">
      <c r="D40" s="18" t="s">
        <v>30</v>
      </c>
      <c r="E40" s="71">
        <f>+J10</f>
        <v>14149.5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4:12" x14ac:dyDescent="0.2">
      <c r="D41" s="18" t="s">
        <v>44</v>
      </c>
      <c r="E41" s="1">
        <v>0</v>
      </c>
      <c r="F41" s="1">
        <f t="shared" ref="F41:L41" si="13">+IF($H$10=1,F39*$E$10,0)</f>
        <v>1485.6975</v>
      </c>
      <c r="G41" s="1">
        <f t="shared" si="13"/>
        <v>1641.6957375</v>
      </c>
      <c r="H41" s="1">
        <f t="shared" si="13"/>
        <v>1814.0737899374999</v>
      </c>
      <c r="I41" s="1">
        <f t="shared" si="13"/>
        <v>2004.5515378809378</v>
      </c>
      <c r="J41" s="1">
        <f t="shared" si="13"/>
        <v>2215.0294493584361</v>
      </c>
      <c r="K41" s="1">
        <f t="shared" si="13"/>
        <v>2447.6075415410719</v>
      </c>
      <c r="L41" s="1">
        <f t="shared" si="13"/>
        <v>2704.606333402884</v>
      </c>
    </row>
    <row r="42" spans="4:12" x14ac:dyDescent="0.2">
      <c r="D42" s="18" t="s">
        <v>45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4:12" x14ac:dyDescent="0.2">
      <c r="D43" s="52" t="s">
        <v>46</v>
      </c>
      <c r="E43" s="53">
        <f t="shared" ref="E43:L43" si="14">+SUM(E39:E42)</f>
        <v>14149.5</v>
      </c>
      <c r="F43" s="53">
        <f t="shared" si="14"/>
        <v>15635.1975</v>
      </c>
      <c r="G43" s="53">
        <f t="shared" si="14"/>
        <v>17276.8932375</v>
      </c>
      <c r="H43" s="53">
        <f t="shared" si="14"/>
        <v>19090.967027437502</v>
      </c>
      <c r="I43" s="53">
        <f t="shared" si="14"/>
        <v>21095.518565318438</v>
      </c>
      <c r="J43" s="53">
        <f t="shared" si="14"/>
        <v>23310.548014676875</v>
      </c>
      <c r="K43" s="53">
        <f t="shared" si="14"/>
        <v>25758.155556217946</v>
      </c>
      <c r="L43" s="53">
        <f t="shared" si="14"/>
        <v>28462.76188962083</v>
      </c>
    </row>
    <row r="44" spans="4:12" x14ac:dyDescent="0.2">
      <c r="D44" s="18" t="s">
        <v>47</v>
      </c>
      <c r="F44" s="1">
        <f t="shared" ref="F44:L44" si="15">+IF($H$10=0,-F39*$E$10,0)</f>
        <v>0</v>
      </c>
      <c r="G44" s="1">
        <f t="shared" si="15"/>
        <v>0</v>
      </c>
      <c r="H44" s="1">
        <f t="shared" si="15"/>
        <v>0</v>
      </c>
      <c r="I44" s="1">
        <f t="shared" si="15"/>
        <v>0</v>
      </c>
      <c r="J44" s="1">
        <f t="shared" si="15"/>
        <v>0</v>
      </c>
      <c r="K44" s="1">
        <f t="shared" si="15"/>
        <v>0</v>
      </c>
      <c r="L44" s="1">
        <f t="shared" si="15"/>
        <v>0</v>
      </c>
    </row>
    <row r="45" spans="4:12" x14ac:dyDescent="0.2">
      <c r="D45" s="69" t="s">
        <v>48</v>
      </c>
      <c r="F45" s="87">
        <f t="shared" ref="F45:L45" si="16">-F39*$E$10</f>
        <v>-1485.6975</v>
      </c>
      <c r="G45" s="87">
        <f t="shared" si="16"/>
        <v>-1641.6957375</v>
      </c>
      <c r="H45" s="87">
        <f t="shared" si="16"/>
        <v>-1814.0737899374999</v>
      </c>
      <c r="I45" s="87">
        <f t="shared" si="16"/>
        <v>-2004.5515378809378</v>
      </c>
      <c r="J45" s="87">
        <f t="shared" si="16"/>
        <v>-2215.0294493584361</v>
      </c>
      <c r="K45" s="87">
        <f t="shared" si="16"/>
        <v>-2447.6075415410719</v>
      </c>
      <c r="L45" s="87">
        <f t="shared" si="16"/>
        <v>-2704.606333402884</v>
      </c>
    </row>
    <row r="47" spans="4:12" x14ac:dyDescent="0.2">
      <c r="D47" s="16" t="s">
        <v>49</v>
      </c>
    </row>
    <row r="48" spans="4:12" x14ac:dyDescent="0.2">
      <c r="D48" s="18" t="s">
        <v>50</v>
      </c>
      <c r="E48" s="1">
        <v>0</v>
      </c>
      <c r="F48" s="1">
        <f t="shared" ref="F48:L48" si="17">+E52</f>
        <v>10639.850996544003</v>
      </c>
      <c r="G48" s="1">
        <f t="shared" si="17"/>
        <v>11171.843546371203</v>
      </c>
      <c r="H48" s="1">
        <f t="shared" si="17"/>
        <v>11730.435723689763</v>
      </c>
      <c r="I48" s="1">
        <f t="shared" si="17"/>
        <v>12316.957509874252</v>
      </c>
      <c r="J48" s="1">
        <f t="shared" si="17"/>
        <v>12932.805385367965</v>
      </c>
      <c r="K48" s="1">
        <f t="shared" si="17"/>
        <v>13579.445654636364</v>
      </c>
      <c r="L48" s="1">
        <f t="shared" si="17"/>
        <v>14258.417937368182</v>
      </c>
    </row>
    <row r="49" spans="4:12" x14ac:dyDescent="0.2">
      <c r="D49" s="18" t="s">
        <v>30</v>
      </c>
      <c r="E49" s="71">
        <f>+J11</f>
        <v>10639.850996544003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4:12" x14ac:dyDescent="0.2">
      <c r="D50" s="18" t="s">
        <v>51</v>
      </c>
      <c r="E50" s="1">
        <v>0</v>
      </c>
      <c r="F50" s="1">
        <f t="shared" ref="F50:L50" si="18">+IF($H$11=1,F48*$E$11,0)</f>
        <v>531.99254982720015</v>
      </c>
      <c r="G50" s="1">
        <f t="shared" si="18"/>
        <v>558.59217731856018</v>
      </c>
      <c r="H50" s="1">
        <f t="shared" si="18"/>
        <v>586.52178618448818</v>
      </c>
      <c r="I50" s="1">
        <f t="shared" si="18"/>
        <v>615.84787549371265</v>
      </c>
      <c r="J50" s="1">
        <f t="shared" si="18"/>
        <v>646.64026926839824</v>
      </c>
      <c r="K50" s="1">
        <f t="shared" si="18"/>
        <v>678.97228273181827</v>
      </c>
      <c r="L50" s="1">
        <f t="shared" si="18"/>
        <v>712.92089686840916</v>
      </c>
    </row>
    <row r="51" spans="4:12" x14ac:dyDescent="0.2">
      <c r="D51" s="18" t="s">
        <v>52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4:12" x14ac:dyDescent="0.2">
      <c r="D52" s="52" t="s">
        <v>53</v>
      </c>
      <c r="E52" s="53">
        <f t="shared" ref="E52:L52" si="19">+SUM(E48:E51)</f>
        <v>10639.850996544003</v>
      </c>
      <c r="F52" s="53">
        <f t="shared" si="19"/>
        <v>11171.843546371203</v>
      </c>
      <c r="G52" s="53">
        <f t="shared" si="19"/>
        <v>11730.435723689763</v>
      </c>
      <c r="H52" s="53">
        <f t="shared" si="19"/>
        <v>12316.957509874252</v>
      </c>
      <c r="I52" s="53">
        <f t="shared" si="19"/>
        <v>12932.805385367965</v>
      </c>
      <c r="J52" s="53">
        <f t="shared" si="19"/>
        <v>13579.445654636364</v>
      </c>
      <c r="K52" s="53">
        <f t="shared" si="19"/>
        <v>14258.417937368182</v>
      </c>
      <c r="L52" s="53">
        <f t="shared" si="19"/>
        <v>14971.338834236591</v>
      </c>
    </row>
    <row r="53" spans="4:12" x14ac:dyDescent="0.2">
      <c r="D53" s="18" t="s">
        <v>54</v>
      </c>
      <c r="F53" s="1">
        <f t="shared" ref="F53:L53" si="20">+IF($H$11=0,-F48*$E$11,0)</f>
        <v>0</v>
      </c>
      <c r="G53" s="1">
        <f t="shared" si="20"/>
        <v>0</v>
      </c>
      <c r="H53" s="1">
        <f t="shared" si="20"/>
        <v>0</v>
      </c>
      <c r="I53" s="1">
        <f t="shared" si="20"/>
        <v>0</v>
      </c>
      <c r="J53" s="1">
        <f t="shared" si="20"/>
        <v>0</v>
      </c>
      <c r="K53" s="1">
        <f t="shared" si="20"/>
        <v>0</v>
      </c>
      <c r="L53" s="1">
        <f t="shared" si="20"/>
        <v>0</v>
      </c>
    </row>
    <row r="54" spans="4:12" x14ac:dyDescent="0.2">
      <c r="D54" s="69" t="s">
        <v>55</v>
      </c>
      <c r="F54" s="87">
        <f t="shared" ref="F54:L54" si="21">-F48*$E$11</f>
        <v>-531.99254982720015</v>
      </c>
      <c r="G54" s="87">
        <f t="shared" si="21"/>
        <v>-558.59217731856018</v>
      </c>
      <c r="H54" s="87">
        <f t="shared" si="21"/>
        <v>-586.52178618448818</v>
      </c>
      <c r="I54" s="87">
        <f t="shared" si="21"/>
        <v>-615.84787549371265</v>
      </c>
      <c r="J54" s="87">
        <f t="shared" si="21"/>
        <v>-646.64026926839824</v>
      </c>
      <c r="K54" s="87">
        <f t="shared" si="21"/>
        <v>-678.97228273181827</v>
      </c>
      <c r="L54" s="87">
        <f t="shared" si="21"/>
        <v>-712.92089686840916</v>
      </c>
    </row>
    <row r="56" spans="4:12" x14ac:dyDescent="0.2">
      <c r="D56" s="16" t="s">
        <v>56</v>
      </c>
    </row>
    <row r="57" spans="4:12" x14ac:dyDescent="0.2">
      <c r="D57" s="18" t="s">
        <v>57</v>
      </c>
      <c r="E57" s="1">
        <v>0</v>
      </c>
      <c r="F57" s="1">
        <f t="shared" ref="F57:L57" si="22">+E59</f>
        <v>0</v>
      </c>
      <c r="G57" s="1">
        <f t="shared" si="22"/>
        <v>0</v>
      </c>
      <c r="H57" s="1">
        <f t="shared" si="22"/>
        <v>0</v>
      </c>
      <c r="I57" s="1">
        <f t="shared" si="22"/>
        <v>0</v>
      </c>
      <c r="J57" s="1">
        <f t="shared" si="22"/>
        <v>0</v>
      </c>
      <c r="K57" s="1">
        <f t="shared" si="22"/>
        <v>0</v>
      </c>
      <c r="L57" s="1">
        <f t="shared" si="22"/>
        <v>0</v>
      </c>
    </row>
    <row r="58" spans="4:12" x14ac:dyDescent="0.2">
      <c r="D58" s="18" t="s">
        <v>58</v>
      </c>
      <c r="E58" s="1">
        <f>'LBO Summary'!F29</f>
        <v>0</v>
      </c>
      <c r="F58" s="1">
        <f t="shared" ref="F58:L58" si="23">+IF(F87&lt;0,MIN($E$14-F57,-F87),-MIN(F57,F87))</f>
        <v>0</v>
      </c>
      <c r="G58" s="1">
        <f t="shared" si="23"/>
        <v>0</v>
      </c>
      <c r="H58" s="1">
        <f t="shared" si="23"/>
        <v>0</v>
      </c>
      <c r="I58" s="1">
        <f t="shared" si="23"/>
        <v>0</v>
      </c>
      <c r="J58" s="1">
        <f t="shared" si="23"/>
        <v>0</v>
      </c>
      <c r="K58" s="1">
        <f t="shared" si="23"/>
        <v>0</v>
      </c>
      <c r="L58" s="1">
        <f t="shared" si="23"/>
        <v>0</v>
      </c>
    </row>
    <row r="59" spans="4:12" x14ac:dyDescent="0.2">
      <c r="D59" s="52" t="s">
        <v>59</v>
      </c>
      <c r="E59" s="53">
        <f t="shared" ref="E59:L59" si="24">+E57+E58</f>
        <v>0</v>
      </c>
      <c r="F59" s="53">
        <f t="shared" si="24"/>
        <v>0</v>
      </c>
      <c r="G59" s="53">
        <f t="shared" si="24"/>
        <v>0</v>
      </c>
      <c r="H59" s="53">
        <f t="shared" si="24"/>
        <v>0</v>
      </c>
      <c r="I59" s="53">
        <f t="shared" si="24"/>
        <v>0</v>
      </c>
      <c r="J59" s="53">
        <f t="shared" si="24"/>
        <v>0</v>
      </c>
      <c r="K59" s="53">
        <f t="shared" si="24"/>
        <v>0</v>
      </c>
      <c r="L59" s="53">
        <f t="shared" si="24"/>
        <v>0</v>
      </c>
    </row>
    <row r="60" spans="4:12" x14ac:dyDescent="0.2">
      <c r="D60" s="69" t="s">
        <v>60</v>
      </c>
      <c r="E60" s="87">
        <f>+$E$14-E59</f>
        <v>1000</v>
      </c>
      <c r="F60" s="87">
        <f t="shared" ref="F60:L60" si="25">+MAX(0,$E$14-F59)</f>
        <v>1000</v>
      </c>
      <c r="G60" s="87">
        <f t="shared" si="25"/>
        <v>1000</v>
      </c>
      <c r="H60" s="87">
        <f t="shared" si="25"/>
        <v>1000</v>
      </c>
      <c r="I60" s="87">
        <f t="shared" si="25"/>
        <v>1000</v>
      </c>
      <c r="J60" s="87">
        <f t="shared" si="25"/>
        <v>1000</v>
      </c>
      <c r="K60" s="87">
        <f t="shared" si="25"/>
        <v>1000</v>
      </c>
      <c r="L60" s="87">
        <f t="shared" si="25"/>
        <v>1000</v>
      </c>
    </row>
    <row r="61" spans="4:12" x14ac:dyDescent="0.2">
      <c r="D61" s="16" t="s">
        <v>61</v>
      </c>
      <c r="F61" s="36">
        <f t="shared" ref="F61:L61" si="26">-(F57*$E$15+MAX(0,$E$14-F57)*$G$15)</f>
        <v>-7.5</v>
      </c>
      <c r="G61" s="36">
        <f t="shared" si="26"/>
        <v>-7.5</v>
      </c>
      <c r="H61" s="36">
        <f t="shared" si="26"/>
        <v>-7.5</v>
      </c>
      <c r="I61" s="36">
        <f t="shared" si="26"/>
        <v>-7.5</v>
      </c>
      <c r="J61" s="36">
        <f t="shared" si="26"/>
        <v>-7.5</v>
      </c>
      <c r="K61" s="36">
        <f t="shared" si="26"/>
        <v>-7.5</v>
      </c>
      <c r="L61" s="36">
        <f t="shared" si="26"/>
        <v>-7.5</v>
      </c>
    </row>
    <row r="63" spans="4:12" x14ac:dyDescent="0.2">
      <c r="D63" s="16" t="s">
        <v>62</v>
      </c>
    </row>
    <row r="64" spans="4:12" x14ac:dyDescent="0.2">
      <c r="D64" s="18" t="s">
        <v>63</v>
      </c>
      <c r="E64" s="1">
        <v>0</v>
      </c>
      <c r="F64" s="1">
        <f t="shared" ref="F64:L64" si="27">+F21+F29+F39+F48+F57</f>
        <v>76670.850996544003</v>
      </c>
      <c r="G64" s="1">
        <f t="shared" si="27"/>
        <v>75537.551143646211</v>
      </c>
      <c r="H64" s="1">
        <f t="shared" si="27"/>
        <v>73421.760339094893</v>
      </c>
      <c r="I64" s="1">
        <f t="shared" si="27"/>
        <v>70546.988964516</v>
      </c>
      <c r="J64" s="1">
        <f t="shared" si="27"/>
        <v>67046.487413010051</v>
      </c>
      <c r="K64" s="1">
        <f t="shared" si="27"/>
        <v>62568.455670866126</v>
      </c>
      <c r="L64" s="1">
        <f t="shared" si="27"/>
        <v>57285.901109183455</v>
      </c>
    </row>
    <row r="65" spans="2:13" x14ac:dyDescent="0.2">
      <c r="D65" s="18" t="s">
        <v>64</v>
      </c>
      <c r="E65" s="1">
        <f>+E22+E30+E40+E49+E58</f>
        <v>76670.850996544003</v>
      </c>
      <c r="F65" s="1">
        <f t="shared" ref="F65:L65" si="28">+F23+F31</f>
        <v>-943.30000000000007</v>
      </c>
      <c r="G65" s="1">
        <f t="shared" si="28"/>
        <v>-1886.6000000000001</v>
      </c>
      <c r="H65" s="1">
        <f t="shared" si="28"/>
        <v>-2829.9</v>
      </c>
      <c r="I65" s="1">
        <f t="shared" si="28"/>
        <v>-2829.9</v>
      </c>
      <c r="J65" s="1">
        <f t="shared" si="28"/>
        <v>-3773.2000000000003</v>
      </c>
      <c r="K65" s="1">
        <f t="shared" si="28"/>
        <v>-3773.2000000000003</v>
      </c>
      <c r="L65" s="1">
        <f t="shared" si="28"/>
        <v>-2829.8999999999983</v>
      </c>
    </row>
    <row r="66" spans="2:13" x14ac:dyDescent="0.2">
      <c r="D66" s="18" t="s">
        <v>65</v>
      </c>
      <c r="E66" s="1">
        <v>0</v>
      </c>
      <c r="F66" s="1">
        <f t="shared" ref="F66:L66" si="29">+F33+F58</f>
        <v>-2207.6899027249974</v>
      </c>
      <c r="G66" s="1">
        <f t="shared" si="29"/>
        <v>-2429.478719369873</v>
      </c>
      <c r="H66" s="1">
        <f t="shared" si="29"/>
        <v>-2445.4669507008907</v>
      </c>
      <c r="I66" s="1">
        <f t="shared" si="29"/>
        <v>-3291.0009648805917</v>
      </c>
      <c r="J66" s="1">
        <f t="shared" si="29"/>
        <v>-3566.5014607707631</v>
      </c>
      <c r="K66" s="1">
        <f t="shared" si="29"/>
        <v>-4635.9343859555647</v>
      </c>
      <c r="L66" s="1">
        <f t="shared" si="29"/>
        <v>-6705.954694898006</v>
      </c>
    </row>
    <row r="67" spans="2:13" x14ac:dyDescent="0.2">
      <c r="D67" s="69" t="s">
        <v>66</v>
      </c>
      <c r="E67" s="87">
        <f t="shared" ref="E67:L67" si="30">+E24+E34+E59</f>
        <v>51881.5</v>
      </c>
      <c r="F67" s="87">
        <f t="shared" si="30"/>
        <v>48730.510097275008</v>
      </c>
      <c r="G67" s="87">
        <f t="shared" si="30"/>
        <v>44414.43137790513</v>
      </c>
      <c r="H67" s="87">
        <f t="shared" si="30"/>
        <v>39139.064427204241</v>
      </c>
      <c r="I67" s="87">
        <f t="shared" si="30"/>
        <v>33018.163462323653</v>
      </c>
      <c r="J67" s="87">
        <f t="shared" si="30"/>
        <v>25678.462001552885</v>
      </c>
      <c r="K67" s="87">
        <f t="shared" si="30"/>
        <v>17269.327615597322</v>
      </c>
      <c r="L67" s="87">
        <f t="shared" si="30"/>
        <v>7733.4729206993161</v>
      </c>
    </row>
    <row r="68" spans="2:13" x14ac:dyDescent="0.2">
      <c r="D68" s="40" t="s">
        <v>67</v>
      </c>
      <c r="E68" s="41">
        <f t="shared" ref="E68:L68" si="31">+E24+E34+E43+E52+E59</f>
        <v>76670.850996544003</v>
      </c>
      <c r="F68" s="41">
        <f t="shared" si="31"/>
        <v>75537.551143646211</v>
      </c>
      <c r="G68" s="41">
        <f t="shared" si="31"/>
        <v>73421.760339094893</v>
      </c>
      <c r="H68" s="41">
        <f t="shared" si="31"/>
        <v>70546.988964516</v>
      </c>
      <c r="I68" s="41">
        <f t="shared" si="31"/>
        <v>67046.487413010051</v>
      </c>
      <c r="J68" s="41">
        <f t="shared" si="31"/>
        <v>62568.455670866126</v>
      </c>
      <c r="K68" s="41">
        <f t="shared" si="31"/>
        <v>57285.901109183455</v>
      </c>
      <c r="L68" s="41">
        <f t="shared" si="31"/>
        <v>51167.573644556731</v>
      </c>
    </row>
    <row r="69" spans="2:13" x14ac:dyDescent="0.2">
      <c r="D69" s="18" t="s">
        <v>68</v>
      </c>
      <c r="E69" s="1">
        <f t="shared" ref="E69:L69" si="32">-E93</f>
        <v>-1000</v>
      </c>
      <c r="F69" s="1">
        <f t="shared" si="32"/>
        <v>-1389.5923357749998</v>
      </c>
      <c r="G69" s="1">
        <f t="shared" si="32"/>
        <v>-1428.7315387123308</v>
      </c>
      <c r="H69" s="1">
        <f t="shared" si="32"/>
        <v>-1431.5529913001574</v>
      </c>
      <c r="I69" s="1">
        <f t="shared" si="32"/>
        <v>-1580.7648761553987</v>
      </c>
      <c r="J69" s="1">
        <f t="shared" si="32"/>
        <v>-1629.3826107242526</v>
      </c>
      <c r="K69" s="1">
        <f t="shared" si="32"/>
        <v>-1818.1060681098056</v>
      </c>
      <c r="L69" s="1">
        <f t="shared" si="32"/>
        <v>-2183.4037696878836</v>
      </c>
    </row>
    <row r="70" spans="2:13" x14ac:dyDescent="0.2">
      <c r="D70" s="52" t="s">
        <v>69</v>
      </c>
      <c r="E70" s="53">
        <f t="shared" ref="E70:L70" si="33">+E68+E69</f>
        <v>75670.850996544003</v>
      </c>
      <c r="F70" s="53">
        <f t="shared" si="33"/>
        <v>74147.958807871211</v>
      </c>
      <c r="G70" s="53">
        <f t="shared" si="33"/>
        <v>71993.02880038257</v>
      </c>
      <c r="H70" s="53">
        <f t="shared" si="33"/>
        <v>69115.435973215848</v>
      </c>
      <c r="I70" s="53">
        <f t="shared" si="33"/>
        <v>65465.72253685465</v>
      </c>
      <c r="J70" s="53">
        <f t="shared" si="33"/>
        <v>60939.073060141876</v>
      </c>
      <c r="K70" s="53">
        <f t="shared" si="33"/>
        <v>55467.795041073652</v>
      </c>
      <c r="L70" s="53">
        <f t="shared" si="33"/>
        <v>48984.16987486885</v>
      </c>
    </row>
    <row r="71" spans="2:13" x14ac:dyDescent="0.2">
      <c r="D71" s="16" t="s">
        <v>70</v>
      </c>
      <c r="F71" s="36">
        <f t="shared" ref="F71:L71" si="34">+F26+F36+F44+F53+F61</f>
        <v>-3218.6629940000003</v>
      </c>
      <c r="G71" s="36">
        <f t="shared" si="34"/>
        <v>-2993.5733548240414</v>
      </c>
      <c r="H71" s="36">
        <f t="shared" si="34"/>
        <v>-2700.9742501968549</v>
      </c>
      <c r="I71" s="36">
        <f t="shared" si="34"/>
        <v>-2380.8880167725679</v>
      </c>
      <c r="J71" s="36">
        <f t="shared" si="34"/>
        <v>-1978.531451051854</v>
      </c>
      <c r="K71" s="36">
        <f t="shared" si="34"/>
        <v>-1531.5495665825526</v>
      </c>
      <c r="L71" s="36">
        <f t="shared" si="34"/>
        <v>-1040.3735977340471</v>
      </c>
    </row>
    <row r="72" spans="2:13" x14ac:dyDescent="0.2">
      <c r="D72" s="69" t="s">
        <v>71</v>
      </c>
      <c r="F72" s="87">
        <f t="shared" ref="F72:L72" si="35">+F26+F36+F45+F54+F61</f>
        <v>-5236.353043827201</v>
      </c>
      <c r="G72" s="87">
        <f t="shared" si="35"/>
        <v>-5193.8612696426017</v>
      </c>
      <c r="H72" s="87">
        <f t="shared" si="35"/>
        <v>-5101.5698263188433</v>
      </c>
      <c r="I72" s="87">
        <f t="shared" si="35"/>
        <v>-5001.2874301472175</v>
      </c>
      <c r="J72" s="87">
        <f t="shared" si="35"/>
        <v>-4840.2011696786885</v>
      </c>
      <c r="K72" s="87">
        <f t="shared" si="35"/>
        <v>-4658.1293908554426</v>
      </c>
      <c r="L72" s="87">
        <f t="shared" si="35"/>
        <v>-4457.9008280053404</v>
      </c>
    </row>
    <row r="75" spans="2:13" ht="13.95" customHeight="1" x14ac:dyDescent="0.2">
      <c r="C75" s="14" t="s">
        <v>72</v>
      </c>
      <c r="D75" s="14"/>
      <c r="E75" s="59" t="s">
        <v>25</v>
      </c>
      <c r="F75" s="59" t="s">
        <v>25</v>
      </c>
      <c r="G75" s="59" t="s">
        <v>25</v>
      </c>
      <c r="H75" s="59" t="s">
        <v>25</v>
      </c>
      <c r="I75" s="59" t="s">
        <v>25</v>
      </c>
      <c r="J75" s="59" t="s">
        <v>25</v>
      </c>
      <c r="K75" s="59" t="s">
        <v>25</v>
      </c>
      <c r="L75" s="59" t="s">
        <v>25</v>
      </c>
      <c r="M75" s="14"/>
    </row>
    <row r="76" spans="2:13" ht="13.95" customHeight="1" x14ac:dyDescent="0.2">
      <c r="C76" s="14" t="s">
        <v>26</v>
      </c>
      <c r="D76" s="14" t="s">
        <v>27</v>
      </c>
      <c r="E76" s="50">
        <v>2025</v>
      </c>
      <c r="F76" s="51">
        <f t="shared" ref="F76:L76" si="36">+E76+1</f>
        <v>2026</v>
      </c>
      <c r="G76" s="51">
        <f t="shared" si="36"/>
        <v>2027</v>
      </c>
      <c r="H76" s="51">
        <f t="shared" si="36"/>
        <v>2028</v>
      </c>
      <c r="I76" s="51">
        <f t="shared" si="36"/>
        <v>2029</v>
      </c>
      <c r="J76" s="51">
        <f t="shared" si="36"/>
        <v>2030</v>
      </c>
      <c r="K76" s="51">
        <f t="shared" si="36"/>
        <v>2031</v>
      </c>
      <c r="L76" s="51">
        <f t="shared" si="36"/>
        <v>2032</v>
      </c>
      <c r="M76" s="14"/>
    </row>
    <row r="77" spans="2:13" x14ac:dyDescent="0.2">
      <c r="B77" s="9">
        <v>5</v>
      </c>
      <c r="D77" s="16" t="s">
        <v>73</v>
      </c>
      <c r="F77" s="36">
        <f>'Active Case'!M30</f>
        <v>10143.127139999995</v>
      </c>
      <c r="G77" s="36">
        <f>'Active Case'!N30</f>
        <v>10922.261526449996</v>
      </c>
      <c r="H77" s="36">
        <f>'Active Case'!O30</f>
        <v>11752.178795389118</v>
      </c>
      <c r="I77" s="36">
        <f>'Active Case'!P30</f>
        <v>12635.979588021728</v>
      </c>
      <c r="J77" s="36">
        <f>'Active Case'!Q30</f>
        <v>13576.947563817597</v>
      </c>
      <c r="K77" s="36">
        <f>'Active Case'!R30</f>
        <v>14578.559985258678</v>
      </c>
      <c r="L77" s="36">
        <f>'Active Case'!S30</f>
        <v>15644.498906557797</v>
      </c>
    </row>
    <row r="78" spans="2:13" x14ac:dyDescent="0.2">
      <c r="D78" s="18" t="s">
        <v>74</v>
      </c>
      <c r="F78" s="1">
        <f>'Tax &amp; WACC'!F22</f>
        <v>-1428.2605114999988</v>
      </c>
      <c r="G78" s="1">
        <f>'Tax &amp; WACC'!G22</f>
        <v>-1508.4320325387494</v>
      </c>
      <c r="H78" s="1">
        <f>'Tax &amp; WACC'!H22</f>
        <v>-1594.4008232006458</v>
      </c>
      <c r="I78" s="1">
        <f>'Tax &amp; WACC'!I22</f>
        <v>-1686.5395602817675</v>
      </c>
      <c r="J78" s="1">
        <f>'Tax &amp; WACC'!J22</f>
        <v>-1785.2436023268331</v>
      </c>
      <c r="K78" s="1">
        <f>'Tax &amp; WACC'!K22</f>
        <v>-1890.9323279052537</v>
      </c>
      <c r="L78" s="1">
        <f>'Tax &amp; WACC'!L22</f>
        <v>-2004.0505513092737</v>
      </c>
    </row>
    <row r="79" spans="2:13" x14ac:dyDescent="0.2">
      <c r="D79" s="18" t="s">
        <v>75</v>
      </c>
      <c r="F79" s="1">
        <f>'Active Case'!M44</f>
        <v>231.31764400000066</v>
      </c>
      <c r="G79" s="1">
        <f>'Active Case'!N44</f>
        <v>242.18247041999894</v>
      </c>
      <c r="H79" s="1">
        <f>'Active Case'!O44</f>
        <v>255.50250629309994</v>
      </c>
      <c r="I79" s="1">
        <f>'Active Case'!P44</f>
        <v>269.55514413921992</v>
      </c>
      <c r="J79" s="1">
        <f>'Active Case'!Q44</f>
        <v>284.38067706687798</v>
      </c>
      <c r="K79" s="1">
        <f>'Active Case'!R44</f>
        <v>300.02161430555589</v>
      </c>
      <c r="L79" s="1">
        <f>'Active Case'!S44</f>
        <v>316.52280309235903</v>
      </c>
    </row>
    <row r="80" spans="2:13" x14ac:dyDescent="0.2">
      <c r="D80" s="18" t="s">
        <v>76</v>
      </c>
      <c r="F80" s="1">
        <f>-'Active Case'!M52</f>
        <v>-1471.9782</v>
      </c>
      <c r="G80" s="1">
        <f>-'Active Case'!N52</f>
        <v>-1552.937001</v>
      </c>
      <c r="H80" s="1">
        <f>-'Active Case'!O52</f>
        <v>-1638.3485360549998</v>
      </c>
      <c r="I80" s="1">
        <f>-'Active Case'!P52</f>
        <v>-1728.4577055380246</v>
      </c>
      <c r="J80" s="1">
        <f>-'Active Case'!Q52</f>
        <v>-1823.5228793426159</v>
      </c>
      <c r="K80" s="1">
        <f>-'Active Case'!R52</f>
        <v>-1923.8166377064597</v>
      </c>
      <c r="L80" s="1">
        <f>-'Active Case'!S52</f>
        <v>-2029.6265527803148</v>
      </c>
    </row>
    <row r="81" spans="1:13" x14ac:dyDescent="0.2">
      <c r="D81" s="52" t="s">
        <v>77</v>
      </c>
      <c r="E81" s="52"/>
      <c r="F81" s="53">
        <f t="shared" ref="F81:L81" si="37">+SUM(F77:F80)</f>
        <v>7474.2060724999974</v>
      </c>
      <c r="G81" s="53">
        <f t="shared" si="37"/>
        <v>8103.0749633312462</v>
      </c>
      <c r="H81" s="53">
        <f t="shared" si="37"/>
        <v>8774.9319424265723</v>
      </c>
      <c r="I81" s="53">
        <f t="shared" si="37"/>
        <v>9490.5374663411549</v>
      </c>
      <c r="J81" s="53">
        <f t="shared" si="37"/>
        <v>10252.561759215027</v>
      </c>
      <c r="K81" s="53">
        <f t="shared" si="37"/>
        <v>11063.832633952523</v>
      </c>
      <c r="L81" s="53">
        <f t="shared" si="37"/>
        <v>11927.344605560567</v>
      </c>
    </row>
    <row r="82" spans="1:13" x14ac:dyDescent="0.2">
      <c r="D82" s="18" t="s">
        <v>78</v>
      </c>
      <c r="F82" s="1">
        <f>-'Active Case'!M53</f>
        <v>-714.96083999999996</v>
      </c>
      <c r="G82" s="1">
        <f>-'Active Case'!N53</f>
        <v>-754.28368620000003</v>
      </c>
      <c r="H82" s="1">
        <f>-'Active Case'!O53</f>
        <v>-795.7692889409999</v>
      </c>
      <c r="I82" s="1">
        <f>-'Active Case'!P53</f>
        <v>-839.53659983275486</v>
      </c>
      <c r="J82" s="1">
        <f>-'Active Case'!Q53</f>
        <v>-885.71111282355628</v>
      </c>
      <c r="K82" s="1">
        <f>-'Active Case'!R53</f>
        <v>-934.42522402885186</v>
      </c>
      <c r="L82" s="1">
        <f>-'Active Case'!S53</f>
        <v>-985.81861135043857</v>
      </c>
    </row>
    <row r="83" spans="1:13" x14ac:dyDescent="0.2">
      <c r="D83" s="52" t="s">
        <v>79</v>
      </c>
      <c r="E83" s="52"/>
      <c r="F83" s="53">
        <f t="shared" ref="F83:L83" si="38">+F81+F82</f>
        <v>6759.2452324999977</v>
      </c>
      <c r="G83" s="53">
        <f t="shared" si="38"/>
        <v>7348.7912771312458</v>
      </c>
      <c r="H83" s="53">
        <f t="shared" si="38"/>
        <v>7979.1626534855723</v>
      </c>
      <c r="I83" s="53">
        <f t="shared" si="38"/>
        <v>8651.0008665084006</v>
      </c>
      <c r="J83" s="53">
        <f t="shared" si="38"/>
        <v>9366.8506463914709</v>
      </c>
      <c r="K83" s="53">
        <f t="shared" si="38"/>
        <v>10129.407409923671</v>
      </c>
      <c r="L83" s="53">
        <f t="shared" si="38"/>
        <v>10941.525994210129</v>
      </c>
    </row>
    <row r="84" spans="1:13" x14ac:dyDescent="0.2">
      <c r="D84" s="18" t="s">
        <v>80</v>
      </c>
      <c r="F84" s="1">
        <f t="shared" ref="F84:L84" si="39">+F71</f>
        <v>-3218.6629940000003</v>
      </c>
      <c r="G84" s="1">
        <f t="shared" si="39"/>
        <v>-2993.5733548240414</v>
      </c>
      <c r="H84" s="1">
        <f t="shared" si="39"/>
        <v>-2700.9742501968549</v>
      </c>
      <c r="I84" s="1">
        <f t="shared" si="39"/>
        <v>-2380.8880167725679</v>
      </c>
      <c r="J84" s="1">
        <f t="shared" si="39"/>
        <v>-1978.531451051854</v>
      </c>
      <c r="K84" s="1">
        <f t="shared" si="39"/>
        <v>-1531.5495665825526</v>
      </c>
      <c r="L84" s="1">
        <f t="shared" si="39"/>
        <v>-1040.3735977340471</v>
      </c>
    </row>
    <row r="85" spans="1:13" x14ac:dyDescent="0.2">
      <c r="D85" s="18" t="s">
        <v>81</v>
      </c>
      <c r="F85" s="1">
        <f t="shared" ref="F85:L85" si="40">+F65</f>
        <v>-943.30000000000007</v>
      </c>
      <c r="G85" s="1">
        <f t="shared" si="40"/>
        <v>-1886.6000000000001</v>
      </c>
      <c r="H85" s="1">
        <f t="shared" si="40"/>
        <v>-2829.9</v>
      </c>
      <c r="I85" s="1">
        <f t="shared" si="40"/>
        <v>-2829.9</v>
      </c>
      <c r="J85" s="1">
        <f t="shared" si="40"/>
        <v>-3773.2000000000003</v>
      </c>
      <c r="K85" s="1">
        <f t="shared" si="40"/>
        <v>-3773.2000000000003</v>
      </c>
      <c r="L85" s="1">
        <f t="shared" si="40"/>
        <v>-2829.8999999999983</v>
      </c>
    </row>
    <row r="86" spans="1:13" x14ac:dyDescent="0.2">
      <c r="D86" s="52" t="s">
        <v>82</v>
      </c>
      <c r="E86" s="52"/>
      <c r="F86" s="53">
        <f t="shared" ref="F86:L86" si="41">+F83+F84+F85</f>
        <v>2597.2822384999972</v>
      </c>
      <c r="G86" s="53">
        <f t="shared" si="41"/>
        <v>2468.617922307204</v>
      </c>
      <c r="H86" s="53">
        <f t="shared" si="41"/>
        <v>2448.2884032887173</v>
      </c>
      <c r="I86" s="53">
        <f t="shared" si="41"/>
        <v>3440.2128497358331</v>
      </c>
      <c r="J86" s="53">
        <f t="shared" si="41"/>
        <v>3615.1191953396169</v>
      </c>
      <c r="K86" s="53">
        <f t="shared" si="41"/>
        <v>4824.6578433411178</v>
      </c>
      <c r="L86" s="53">
        <f t="shared" si="41"/>
        <v>7071.252396476084</v>
      </c>
    </row>
    <row r="87" spans="1:13" x14ac:dyDescent="0.2">
      <c r="D87" s="69" t="s">
        <v>83</v>
      </c>
      <c r="F87" s="87">
        <f t="shared" ref="F87:L87" si="42">+(F92-$E$92)+F86</f>
        <v>2597.2822384999972</v>
      </c>
      <c r="G87" s="87">
        <f t="shared" si="42"/>
        <v>2858.2102580822038</v>
      </c>
      <c r="H87" s="87">
        <f t="shared" si="42"/>
        <v>2877.0199420010481</v>
      </c>
      <c r="I87" s="87">
        <f t="shared" si="42"/>
        <v>3871.7658410359904</v>
      </c>
      <c r="J87" s="87">
        <f t="shared" si="42"/>
        <v>4195.8840714950156</v>
      </c>
      <c r="K87" s="87">
        <f t="shared" si="42"/>
        <v>5454.0404540653708</v>
      </c>
      <c r="L87" s="87">
        <f t="shared" si="42"/>
        <v>7889.35846458589</v>
      </c>
    </row>
    <row r="88" spans="1:13" x14ac:dyDescent="0.2">
      <c r="D88" s="18" t="s">
        <v>84</v>
      </c>
      <c r="F88" s="1">
        <f t="shared" ref="F88:L88" si="43">+F58</f>
        <v>0</v>
      </c>
      <c r="G88" s="1">
        <f t="shared" si="43"/>
        <v>0</v>
      </c>
      <c r="H88" s="1">
        <f t="shared" si="43"/>
        <v>0</v>
      </c>
      <c r="I88" s="1">
        <f t="shared" si="43"/>
        <v>0</v>
      </c>
      <c r="J88" s="1">
        <f t="shared" si="43"/>
        <v>0</v>
      </c>
      <c r="K88" s="1">
        <f t="shared" si="43"/>
        <v>0</v>
      </c>
      <c r="L88" s="1">
        <f t="shared" si="43"/>
        <v>0</v>
      </c>
    </row>
    <row r="89" spans="1:13" x14ac:dyDescent="0.2">
      <c r="D89" s="18" t="s">
        <v>85</v>
      </c>
      <c r="F89" s="1">
        <f t="shared" ref="F89:L89" si="44">+F33</f>
        <v>-2207.6899027249974</v>
      </c>
      <c r="G89" s="1">
        <f t="shared" si="44"/>
        <v>-2429.478719369873</v>
      </c>
      <c r="H89" s="1">
        <f t="shared" si="44"/>
        <v>-2445.4669507008907</v>
      </c>
      <c r="I89" s="1">
        <f t="shared" si="44"/>
        <v>-3291.0009648805917</v>
      </c>
      <c r="J89" s="1">
        <f t="shared" si="44"/>
        <v>-3566.5014607707631</v>
      </c>
      <c r="K89" s="1">
        <f t="shared" si="44"/>
        <v>-4635.9343859555647</v>
      </c>
      <c r="L89" s="1">
        <f t="shared" si="44"/>
        <v>-6705.954694898006</v>
      </c>
    </row>
    <row r="90" spans="1:13" x14ac:dyDescent="0.2">
      <c r="D90" s="52" t="s">
        <v>86</v>
      </c>
      <c r="E90" s="52"/>
      <c r="F90" s="53">
        <f t="shared" ref="F90:L90" si="45">+F86+F88+F89</f>
        <v>389.59233577499981</v>
      </c>
      <c r="G90" s="53">
        <f t="shared" si="45"/>
        <v>39.139202937330992</v>
      </c>
      <c r="H90" s="53">
        <f t="shared" si="45"/>
        <v>2.8214525878265704</v>
      </c>
      <c r="I90" s="53">
        <f t="shared" si="45"/>
        <v>149.21188485524135</v>
      </c>
      <c r="J90" s="53">
        <f t="shared" si="45"/>
        <v>48.617734568853848</v>
      </c>
      <c r="K90" s="53">
        <f t="shared" si="45"/>
        <v>188.72345738555305</v>
      </c>
      <c r="L90" s="53">
        <f t="shared" si="45"/>
        <v>365.29770157807798</v>
      </c>
    </row>
    <row r="92" spans="1:13" x14ac:dyDescent="0.2">
      <c r="D92" s="18" t="s">
        <v>87</v>
      </c>
      <c r="E92" s="71">
        <f>'LBO Summary'!F18</f>
        <v>1000</v>
      </c>
      <c r="F92" s="1">
        <f t="shared" ref="F92:L92" si="46">+E93</f>
        <v>1000</v>
      </c>
      <c r="G92" s="1">
        <f t="shared" si="46"/>
        <v>1389.5923357749998</v>
      </c>
      <c r="H92" s="1">
        <f t="shared" si="46"/>
        <v>1428.7315387123308</v>
      </c>
      <c r="I92" s="1">
        <f t="shared" si="46"/>
        <v>1431.5529913001574</v>
      </c>
      <c r="J92" s="1">
        <f t="shared" si="46"/>
        <v>1580.7648761553987</v>
      </c>
      <c r="K92" s="1">
        <f t="shared" si="46"/>
        <v>1629.3826107242526</v>
      </c>
      <c r="L92" s="1">
        <f t="shared" si="46"/>
        <v>1818.1060681098056</v>
      </c>
    </row>
    <row r="93" spans="1:13" x14ac:dyDescent="0.2">
      <c r="D93" s="40" t="s">
        <v>88</v>
      </c>
      <c r="E93" s="41">
        <f>+E92</f>
        <v>1000</v>
      </c>
      <c r="F93" s="41">
        <f t="shared" ref="F93:L93" si="47">+F92+F90</f>
        <v>1389.5923357749998</v>
      </c>
      <c r="G93" s="41">
        <f t="shared" si="47"/>
        <v>1428.7315387123308</v>
      </c>
      <c r="H93" s="41">
        <f t="shared" si="47"/>
        <v>1431.5529913001574</v>
      </c>
      <c r="I93" s="41">
        <f t="shared" si="47"/>
        <v>1580.7648761553987</v>
      </c>
      <c r="J93" s="41">
        <f t="shared" si="47"/>
        <v>1629.3826107242526</v>
      </c>
      <c r="K93" s="41">
        <f t="shared" si="47"/>
        <v>1818.1060681098056</v>
      </c>
      <c r="L93" s="41">
        <f t="shared" si="47"/>
        <v>2183.4037696878836</v>
      </c>
    </row>
    <row r="95" spans="1:13" ht="16.05" customHeight="1" x14ac:dyDescent="0.2">
      <c r="A95" s="12" t="s">
        <v>4</v>
      </c>
      <c r="B95" s="12" t="s">
        <v>4</v>
      </c>
      <c r="C95" s="13" t="s">
        <v>89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7" spans="2:12" x14ac:dyDescent="0.2">
      <c r="B97" s="9">
        <v>6</v>
      </c>
      <c r="D97" s="18" t="s">
        <v>90</v>
      </c>
      <c r="E97" s="88">
        <f>+(E67-E93)/'Active Case'!L30</f>
        <v>5.3939891868970635</v>
      </c>
      <c r="F97" s="88">
        <f>+(F67-F93)/'Active Case'!M30</f>
        <v>4.6672901865548369</v>
      </c>
      <c r="G97" s="88">
        <f>+(G67-G93)/'Active Case'!N30</f>
        <v>3.9356043375354162</v>
      </c>
      <c r="H97" s="88">
        <f>+(H67-H93)/'Active Case'!O30</f>
        <v>3.2085549490362033</v>
      </c>
      <c r="I97" s="88">
        <f>+(I67-I93)/'Active Case'!P30</f>
        <v>2.4879273005449711</v>
      </c>
      <c r="J97" s="88">
        <f>+(J67-J93)/'Active Case'!Q30</f>
        <v>1.7713171003855934</v>
      </c>
      <c r="K97" s="88">
        <f>+(K67-K93)/'Active Case'!R30</f>
        <v>1.0598592428272231</v>
      </c>
      <c r="L97" s="88">
        <f>+(L67-L93)/'Active Case'!S30</f>
        <v>0.35476170787962896</v>
      </c>
    </row>
    <row r="98" spans="2:12" x14ac:dyDescent="0.2">
      <c r="D98" s="16" t="s">
        <v>91</v>
      </c>
      <c r="E98" s="89">
        <f>+(E67+E43-E93)/'Active Case'!L30</f>
        <v>6.8939891868970635</v>
      </c>
      <c r="F98" s="89">
        <f>+(F67+F43-F93)/'Active Case'!M30</f>
        <v>6.2087474989000322</v>
      </c>
      <c r="G98" s="89">
        <f>+(G67+G43-G93)/'Active Case'!N30</f>
        <v>5.5174098267796765</v>
      </c>
      <c r="H98" s="89">
        <f>+(H67+H43-H93)/'Active Case'!O30</f>
        <v>4.833016877315214</v>
      </c>
      <c r="I98" s="89">
        <f>+(I67+I43-I93)/'Active Case'!P30</f>
        <v>4.1574075666666355</v>
      </c>
      <c r="J98" s="89">
        <f>+(J67+J43-J93)/'Active Case'!Q30</f>
        <v>3.4882382201812692</v>
      </c>
      <c r="K98" s="89">
        <f>+(K67+K43-K93)/'Active Case'!R30</f>
        <v>2.8267110843166217</v>
      </c>
      <c r="L98" s="89">
        <f>+(L67+L43-L93)/'Active Case'!S30</f>
        <v>2.1741080518964337</v>
      </c>
    </row>
    <row r="99" spans="2:12" x14ac:dyDescent="0.2">
      <c r="D99" s="16" t="s">
        <v>92</v>
      </c>
      <c r="E99" s="89">
        <f>+E70/'Active Case'!L30</f>
        <v>8.021928442334783</v>
      </c>
      <c r="F99" s="89">
        <f>+F70/'Active Case'!M30</f>
        <v>7.3101675434457034</v>
      </c>
      <c r="G99" s="89">
        <f>+G70/'Active Case'!N30</f>
        <v>6.5914031289252675</v>
      </c>
      <c r="H99" s="89">
        <f>+H70/'Active Case'!O30</f>
        <v>5.8810742396408049</v>
      </c>
      <c r="I99" s="89">
        <f>+I70/'Active Case'!P30</f>
        <v>5.1808980918988548</v>
      </c>
      <c r="J99" s="89">
        <f>+J70/'Active Case'!Q30</f>
        <v>4.4884222152071782</v>
      </c>
      <c r="K99" s="89">
        <f>+K70/'Active Case'!R30</f>
        <v>3.8047512989733359</v>
      </c>
      <c r="L99" s="89">
        <f>+L70/'Active Case'!S30</f>
        <v>3.1310795038846444</v>
      </c>
    </row>
    <row r="100" spans="2:12" x14ac:dyDescent="0.2">
      <c r="D100" s="69" t="s">
        <v>93</v>
      </c>
      <c r="E100" s="90">
        <f>+ROUNDUP((E99/(1-$E$16))*20,0)/20</f>
        <v>10.7</v>
      </c>
      <c r="F100" s="90">
        <f t="shared" ref="F100:L100" si="48">+MAX(2,E100-0.65)</f>
        <v>10.049999999999999</v>
      </c>
      <c r="G100" s="90">
        <f t="shared" si="48"/>
        <v>9.3999999999999986</v>
      </c>
      <c r="H100" s="90">
        <f t="shared" si="48"/>
        <v>8.7499999999999982</v>
      </c>
      <c r="I100" s="90">
        <f t="shared" si="48"/>
        <v>8.0999999999999979</v>
      </c>
      <c r="J100" s="90">
        <f t="shared" si="48"/>
        <v>7.4499999999999975</v>
      </c>
      <c r="K100" s="90">
        <f t="shared" si="48"/>
        <v>6.7999999999999972</v>
      </c>
      <c r="L100" s="90">
        <f t="shared" si="48"/>
        <v>6.1499999999999968</v>
      </c>
    </row>
    <row r="101" spans="2:12" x14ac:dyDescent="0.2">
      <c r="D101" s="18" t="s">
        <v>94</v>
      </c>
      <c r="E101" s="88">
        <f t="shared" ref="E101:L101" si="49">+E100-E99</f>
        <v>2.6780715576652163</v>
      </c>
      <c r="F101" s="88">
        <f t="shared" si="49"/>
        <v>2.7398324565542955</v>
      </c>
      <c r="G101" s="88">
        <f t="shared" si="49"/>
        <v>2.8085968710747311</v>
      </c>
      <c r="H101" s="88">
        <f t="shared" si="49"/>
        <v>2.8689257603591933</v>
      </c>
      <c r="I101" s="88">
        <f t="shared" si="49"/>
        <v>2.9191019081011431</v>
      </c>
      <c r="J101" s="88">
        <f t="shared" si="49"/>
        <v>2.9615777847928193</v>
      </c>
      <c r="K101" s="88">
        <f t="shared" si="49"/>
        <v>2.9952487010266613</v>
      </c>
      <c r="L101" s="88">
        <f t="shared" si="49"/>
        <v>3.0189204961153524</v>
      </c>
    </row>
    <row r="102" spans="2:12" x14ac:dyDescent="0.2">
      <c r="D102" s="52" t="s">
        <v>95</v>
      </c>
      <c r="E102" s="91" t="str">
        <f t="shared" ref="E102:L102" si="50">IF(E99&lt;=E100,"COMPLIANT","BREACH")</f>
        <v>COMPLIANT</v>
      </c>
      <c r="F102" s="91" t="str">
        <f t="shared" si="50"/>
        <v>COMPLIANT</v>
      </c>
      <c r="G102" s="91" t="str">
        <f t="shared" si="50"/>
        <v>COMPLIANT</v>
      </c>
      <c r="H102" s="91" t="str">
        <f t="shared" si="50"/>
        <v>COMPLIANT</v>
      </c>
      <c r="I102" s="91" t="str">
        <f t="shared" si="50"/>
        <v>COMPLIANT</v>
      </c>
      <c r="J102" s="91" t="str">
        <f t="shared" si="50"/>
        <v>COMPLIANT</v>
      </c>
      <c r="K102" s="91" t="str">
        <f t="shared" si="50"/>
        <v>COMPLIANT</v>
      </c>
      <c r="L102" s="91" t="str">
        <f t="shared" si="50"/>
        <v>COMPLIANT</v>
      </c>
    </row>
    <row r="104" spans="2:12" x14ac:dyDescent="0.2">
      <c r="D104" s="18" t="s">
        <v>96</v>
      </c>
      <c r="F104" s="1">
        <f t="shared" ref="F104:L104" si="51">-(F84+F85)</f>
        <v>4161.9629940000004</v>
      </c>
      <c r="G104" s="1">
        <f t="shared" si="51"/>
        <v>4880.1733548240418</v>
      </c>
      <c r="H104" s="1">
        <f t="shared" si="51"/>
        <v>5530.8742501968554</v>
      </c>
      <c r="I104" s="1">
        <f t="shared" si="51"/>
        <v>5210.788016772568</v>
      </c>
      <c r="J104" s="1">
        <f t="shared" si="51"/>
        <v>5751.7314510518545</v>
      </c>
      <c r="K104" s="1">
        <f t="shared" si="51"/>
        <v>5304.7495665825527</v>
      </c>
      <c r="L104" s="1">
        <f t="shared" si="51"/>
        <v>3870.2735977340453</v>
      </c>
    </row>
    <row r="105" spans="2:12" x14ac:dyDescent="0.2">
      <c r="D105" s="16" t="s">
        <v>97</v>
      </c>
      <c r="F105" s="89">
        <f t="shared" ref="F105:L105" si="52">+F81/F104</f>
        <v>1.7958367441697625</v>
      </c>
      <c r="G105" s="89">
        <f t="shared" si="52"/>
        <v>1.6604071974864114</v>
      </c>
      <c r="H105" s="89">
        <f t="shared" si="52"/>
        <v>1.5865361506120401</v>
      </c>
      <c r="I105" s="89">
        <f t="shared" si="52"/>
        <v>1.8213248045771313</v>
      </c>
      <c r="J105" s="89">
        <f t="shared" si="52"/>
        <v>1.7825174639090768</v>
      </c>
      <c r="K105" s="89">
        <f t="shared" si="52"/>
        <v>2.085646550338494</v>
      </c>
      <c r="L105" s="89">
        <f t="shared" si="52"/>
        <v>3.0817833169581985</v>
      </c>
    </row>
    <row r="106" spans="2:12" x14ac:dyDescent="0.2">
      <c r="D106" s="18" t="s">
        <v>98</v>
      </c>
      <c r="F106" s="88">
        <f t="shared" ref="F106:L106" si="53">+F83/F104</f>
        <v>1.6240522182067236</v>
      </c>
      <c r="G106" s="88">
        <f t="shared" si="53"/>
        <v>1.5058463588935791</v>
      </c>
      <c r="H106" s="88">
        <f t="shared" si="53"/>
        <v>1.4426584826443265</v>
      </c>
      <c r="I106" s="88">
        <f t="shared" si="53"/>
        <v>1.6602097108273106</v>
      </c>
      <c r="J106" s="88">
        <f t="shared" si="53"/>
        <v>1.6285271185042023</v>
      </c>
      <c r="K106" s="88">
        <f t="shared" si="53"/>
        <v>1.9094977590901203</v>
      </c>
      <c r="L106" s="88">
        <f t="shared" si="53"/>
        <v>2.8270678332963688</v>
      </c>
    </row>
    <row r="107" spans="2:12" x14ac:dyDescent="0.2">
      <c r="D107" s="69" t="s">
        <v>99</v>
      </c>
      <c r="F107" s="90">
        <f t="shared" ref="F107:L107" si="54">+$G$16</f>
        <v>1.25</v>
      </c>
      <c r="G107" s="90">
        <f t="shared" si="54"/>
        <v>1.25</v>
      </c>
      <c r="H107" s="90">
        <f t="shared" si="54"/>
        <v>1.25</v>
      </c>
      <c r="I107" s="90">
        <f t="shared" si="54"/>
        <v>1.25</v>
      </c>
      <c r="J107" s="90">
        <f t="shared" si="54"/>
        <v>1.25</v>
      </c>
      <c r="K107" s="90">
        <f t="shared" si="54"/>
        <v>1.25</v>
      </c>
      <c r="L107" s="90">
        <f t="shared" si="54"/>
        <v>1.25</v>
      </c>
    </row>
    <row r="108" spans="2:12" x14ac:dyDescent="0.2">
      <c r="D108" s="40" t="s">
        <v>100</v>
      </c>
      <c r="E108" s="40"/>
      <c r="F108" s="92" t="str">
        <f t="shared" ref="F108:L108" si="55">IF(F105&gt;=$G$16,"COMPLIANT","BREACH")</f>
        <v>COMPLIANT</v>
      </c>
      <c r="G108" s="92" t="str">
        <f t="shared" si="55"/>
        <v>COMPLIANT</v>
      </c>
      <c r="H108" s="92" t="str">
        <f t="shared" si="55"/>
        <v>COMPLIANT</v>
      </c>
      <c r="I108" s="92" t="str">
        <f t="shared" si="55"/>
        <v>COMPLIANT</v>
      </c>
      <c r="J108" s="92" t="str">
        <f t="shared" si="55"/>
        <v>COMPLIANT</v>
      </c>
      <c r="K108" s="92" t="str">
        <f t="shared" si="55"/>
        <v>COMPLIANT</v>
      </c>
      <c r="L108" s="92" t="str">
        <f t="shared" si="55"/>
        <v>COMPLIANT</v>
      </c>
    </row>
    <row r="109" spans="2:12" x14ac:dyDescent="0.2">
      <c r="D109" s="69" t="s">
        <v>101</v>
      </c>
      <c r="F109" s="90">
        <f t="shared" ref="F109:L109" si="56">+F77/-F84</f>
        <v>3.1513479848334796</v>
      </c>
      <c r="G109" s="90">
        <f t="shared" si="56"/>
        <v>3.6485698634540369</v>
      </c>
      <c r="H109" s="90">
        <f t="shared" si="56"/>
        <v>4.3510887949163477</v>
      </c>
      <c r="I109" s="90">
        <f t="shared" si="56"/>
        <v>5.307254897754718</v>
      </c>
      <c r="J109" s="90">
        <f t="shared" si="56"/>
        <v>6.8621338096999338</v>
      </c>
      <c r="K109" s="90">
        <f t="shared" si="56"/>
        <v>9.5188300159222266</v>
      </c>
      <c r="L109" s="90">
        <f t="shared" si="56"/>
        <v>15.037385551336371</v>
      </c>
    </row>
  </sheetData>
  <dataValidations disablePrompts="1" count="1">
    <dataValidation type="list" sqref="H10 H11" xr:uid="{00000000-0002-0000-0300-000000000000}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4"/>
  <sheetViews>
    <sheetView showGridLines="0" topLeftCell="A25" workbookViewId="0">
      <selection activeCell="E46" sqref="E46"/>
    </sheetView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50" customWidth="1"/>
    <col min="5" max="13" width="12" customWidth="1"/>
  </cols>
  <sheetData>
    <row r="1" spans="1:13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5" t="s">
        <v>1</v>
      </c>
    </row>
    <row r="2" spans="1:13" ht="16.05" customHeight="1" x14ac:dyDescent="0.25">
      <c r="A2" s="6" t="s">
        <v>2</v>
      </c>
      <c r="B2" s="6" t="s">
        <v>293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16.05" customHeight="1" x14ac:dyDescent="0.2">
      <c r="A4" s="12" t="s">
        <v>4</v>
      </c>
      <c r="B4" s="12" t="s">
        <v>4</v>
      </c>
      <c r="C4" s="13" t="s">
        <v>294</v>
      </c>
      <c r="D4" s="13"/>
      <c r="E4" s="13"/>
      <c r="F4" s="13"/>
      <c r="G4" s="13"/>
      <c r="H4" s="13"/>
      <c r="I4" s="13"/>
      <c r="J4" s="13"/>
      <c r="K4" s="13"/>
      <c r="L4" s="13"/>
      <c r="M4" s="13"/>
    </row>
    <row r="6" spans="1:13" x14ac:dyDescent="0.2">
      <c r="B6" s="9">
        <v>7</v>
      </c>
      <c r="D6" s="14" t="s">
        <v>295</v>
      </c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2">
      <c r="D7" s="18" t="s">
        <v>296</v>
      </c>
      <c r="E7" s="78">
        <v>0.25</v>
      </c>
      <c r="G7" s="156" t="s">
        <v>297</v>
      </c>
      <c r="H7" s="157"/>
      <c r="I7" s="157"/>
      <c r="J7" s="78">
        <v>3.15E-2</v>
      </c>
    </row>
    <row r="8" spans="1:13" x14ac:dyDescent="0.2">
      <c r="D8" s="18" t="s">
        <v>298</v>
      </c>
      <c r="E8" s="78">
        <v>0.3</v>
      </c>
      <c r="G8" s="156" t="s">
        <v>299</v>
      </c>
      <c r="H8" s="157"/>
      <c r="I8" s="157"/>
      <c r="J8" s="78">
        <v>5.5E-2</v>
      </c>
    </row>
    <row r="9" spans="1:13" x14ac:dyDescent="0.2">
      <c r="D9" s="18" t="s">
        <v>300</v>
      </c>
      <c r="E9" s="84">
        <v>1</v>
      </c>
      <c r="G9" s="156" t="s">
        <v>301</v>
      </c>
      <c r="H9" s="157"/>
      <c r="I9" s="157"/>
      <c r="J9" s="93">
        <v>0.78</v>
      </c>
    </row>
    <row r="10" spans="1:13" x14ac:dyDescent="0.2">
      <c r="D10" s="18" t="s">
        <v>302</v>
      </c>
      <c r="E10" s="83">
        <v>0.7</v>
      </c>
      <c r="G10" s="156" t="s">
        <v>303</v>
      </c>
      <c r="H10" s="157"/>
      <c r="I10" s="157"/>
      <c r="J10" s="45">
        <f>'LBO Summary'!L16</f>
        <v>0.39633043791493294</v>
      </c>
    </row>
    <row r="11" spans="1:13" x14ac:dyDescent="0.2">
      <c r="D11" s="18" t="s">
        <v>304</v>
      </c>
      <c r="E11" s="71">
        <f>'LBO Summary'!I30</f>
        <v>1141.96</v>
      </c>
      <c r="G11" s="156" t="s">
        <v>305</v>
      </c>
      <c r="H11" s="157"/>
      <c r="I11" s="157"/>
      <c r="J11" s="94">
        <f>'LBO Summary'!L14</f>
        <v>7</v>
      </c>
    </row>
    <row r="12" spans="1:13" ht="13.95" customHeight="1" x14ac:dyDescent="0.2">
      <c r="C12" s="14" t="s">
        <v>306</v>
      </c>
      <c r="D12" s="14"/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  <c r="J12" s="59" t="s">
        <v>25</v>
      </c>
      <c r="K12" s="59" t="s">
        <v>25</v>
      </c>
      <c r="L12" s="59" t="s">
        <v>25</v>
      </c>
      <c r="M12" s="14"/>
    </row>
    <row r="13" spans="1:13" ht="13.95" customHeight="1" x14ac:dyDescent="0.2">
      <c r="C13" s="14" t="s">
        <v>26</v>
      </c>
      <c r="D13" s="14" t="s">
        <v>27</v>
      </c>
      <c r="E13" s="50">
        <v>2025</v>
      </c>
      <c r="F13" s="51">
        <f t="shared" ref="F13:L13" si="0">+E13+1</f>
        <v>2026</v>
      </c>
      <c r="G13" s="51">
        <f t="shared" si="0"/>
        <v>2027</v>
      </c>
      <c r="H13" s="51">
        <f t="shared" si="0"/>
        <v>2028</v>
      </c>
      <c r="I13" s="51">
        <f t="shared" si="0"/>
        <v>2029</v>
      </c>
      <c r="J13" s="51">
        <f t="shared" si="0"/>
        <v>2030</v>
      </c>
      <c r="K13" s="51">
        <f t="shared" si="0"/>
        <v>2031</v>
      </c>
      <c r="L13" s="51">
        <f t="shared" si="0"/>
        <v>2032</v>
      </c>
      <c r="M13" s="14"/>
    </row>
    <row r="14" spans="1:13" x14ac:dyDescent="0.2">
      <c r="D14" s="16" t="s">
        <v>193</v>
      </c>
      <c r="E14" s="1">
        <f>'Active Case'!L30</f>
        <v>9433</v>
      </c>
      <c r="F14" s="36">
        <f>'Active Case'!M30</f>
        <v>10143.127139999995</v>
      </c>
      <c r="G14" s="36">
        <f>'Active Case'!N30</f>
        <v>10922.261526449996</v>
      </c>
      <c r="H14" s="36">
        <f>'Active Case'!O30</f>
        <v>11752.178795389118</v>
      </c>
      <c r="I14" s="36">
        <f>'Active Case'!P30</f>
        <v>12635.979588021728</v>
      </c>
      <c r="J14" s="36">
        <f>'Active Case'!Q30</f>
        <v>13576.947563817597</v>
      </c>
      <c r="K14" s="36">
        <f>'Active Case'!R30</f>
        <v>14578.559985258678</v>
      </c>
      <c r="L14" s="36">
        <f>'Active Case'!S30</f>
        <v>15644.498906557797</v>
      </c>
    </row>
    <row r="15" spans="1:13" x14ac:dyDescent="0.2">
      <c r="D15" s="18" t="s">
        <v>307</v>
      </c>
      <c r="E15" s="1">
        <f>'Active Case'!L32</f>
        <v>-1674</v>
      </c>
      <c r="F15" s="1">
        <f>'Active Case'!M32</f>
        <v>-1387.1469520000001</v>
      </c>
      <c r="G15" s="1">
        <f>'Active Case'!N32</f>
        <v>-1611.85493836</v>
      </c>
      <c r="H15" s="1">
        <f>'Active Case'!O32</f>
        <v>-1848.9218639697999</v>
      </c>
      <c r="I15" s="1">
        <f>'Active Case'!P32</f>
        <v>-2099.027470488139</v>
      </c>
      <c r="J15" s="1">
        <f>'Active Case'!Q32</f>
        <v>-2362.8888853649864</v>
      </c>
      <c r="K15" s="1">
        <f>'Active Case'!R32</f>
        <v>-2641.2626780600604</v>
      </c>
      <c r="L15" s="1">
        <f>'Active Case'!S32</f>
        <v>-2934.9470293533641</v>
      </c>
    </row>
    <row r="16" spans="1:13" x14ac:dyDescent="0.2">
      <c r="D16" s="16" t="s">
        <v>308</v>
      </c>
      <c r="E16" s="36">
        <f t="shared" ref="E16:L16" si="1">+E14+E15</f>
        <v>7759</v>
      </c>
      <c r="F16" s="36">
        <f t="shared" si="1"/>
        <v>8755.9801879999941</v>
      </c>
      <c r="G16" s="36">
        <f t="shared" si="1"/>
        <v>9310.4065880899961</v>
      </c>
      <c r="H16" s="36">
        <f t="shared" si="1"/>
        <v>9903.2569314193188</v>
      </c>
      <c r="I16" s="36">
        <f t="shared" si="1"/>
        <v>10536.952117533589</v>
      </c>
      <c r="J16" s="36">
        <f t="shared" si="1"/>
        <v>11214.058678452611</v>
      </c>
      <c r="K16" s="36">
        <f t="shared" si="1"/>
        <v>11937.297307198618</v>
      </c>
      <c r="L16" s="36">
        <f t="shared" si="1"/>
        <v>12709.551877204434</v>
      </c>
    </row>
    <row r="17" spans="4:12" x14ac:dyDescent="0.2">
      <c r="D17" s="18" t="s">
        <v>309</v>
      </c>
      <c r="F17" s="1">
        <f>'Debt &amp; Covenants'!F72</f>
        <v>-5236.353043827201</v>
      </c>
      <c r="G17" s="1">
        <f>'Debt &amp; Covenants'!G72</f>
        <v>-5193.8612696426017</v>
      </c>
      <c r="H17" s="1">
        <f>'Debt &amp; Covenants'!H72</f>
        <v>-5101.5698263188433</v>
      </c>
      <c r="I17" s="1">
        <f>'Debt &amp; Covenants'!I72</f>
        <v>-5001.2874301472175</v>
      </c>
      <c r="J17" s="1">
        <f>'Debt &amp; Covenants'!J72</f>
        <v>-4840.2011696786885</v>
      </c>
      <c r="K17" s="1">
        <f>'Debt &amp; Covenants'!K72</f>
        <v>-4658.1293908554426</v>
      </c>
      <c r="L17" s="1">
        <f>'Debt &amp; Covenants'!L72</f>
        <v>-4457.9008280053404</v>
      </c>
    </row>
    <row r="18" spans="4:12" x14ac:dyDescent="0.2">
      <c r="D18" s="18" t="s">
        <v>310</v>
      </c>
      <c r="F18" s="1">
        <f t="shared" ref="F18:L18" si="2">-$E$11/$J$11</f>
        <v>-163.13714285714286</v>
      </c>
      <c r="G18" s="1">
        <f t="shared" si="2"/>
        <v>-163.13714285714286</v>
      </c>
      <c r="H18" s="1">
        <f t="shared" si="2"/>
        <v>-163.13714285714286</v>
      </c>
      <c r="I18" s="1">
        <f t="shared" si="2"/>
        <v>-163.13714285714286</v>
      </c>
      <c r="J18" s="1">
        <f t="shared" si="2"/>
        <v>-163.13714285714286</v>
      </c>
      <c r="K18" s="1">
        <f t="shared" si="2"/>
        <v>-163.13714285714286</v>
      </c>
      <c r="L18" s="1">
        <f t="shared" si="2"/>
        <v>-163.13714285714286</v>
      </c>
    </row>
    <row r="19" spans="4:12" x14ac:dyDescent="0.2">
      <c r="D19" s="69" t="s">
        <v>311</v>
      </c>
      <c r="F19" s="87">
        <f t="shared" ref="F19:L19" si="3">+F16+F17+F18</f>
        <v>3356.4900013156503</v>
      </c>
      <c r="G19" s="87">
        <f t="shared" si="3"/>
        <v>3953.4081755902516</v>
      </c>
      <c r="H19" s="87">
        <f t="shared" si="3"/>
        <v>4638.5499622433326</v>
      </c>
      <c r="I19" s="87">
        <f t="shared" si="3"/>
        <v>5372.5275445292282</v>
      </c>
      <c r="J19" s="87">
        <f t="shared" si="3"/>
        <v>6210.7203659167799</v>
      </c>
      <c r="K19" s="87">
        <f t="shared" si="3"/>
        <v>7116.0307734860326</v>
      </c>
      <c r="L19" s="87">
        <f t="shared" si="3"/>
        <v>8088.513906341951</v>
      </c>
    </row>
    <row r="20" spans="4:12" x14ac:dyDescent="0.2">
      <c r="D20" s="18" t="s">
        <v>312</v>
      </c>
      <c r="F20" s="1">
        <f t="shared" ref="F20:L20" si="4">+F30</f>
        <v>2356.5520446843452</v>
      </c>
      <c r="G20" s="1">
        <f t="shared" si="4"/>
        <v>2080.3199545647458</v>
      </c>
      <c r="H20" s="1">
        <f t="shared" si="4"/>
        <v>1739.0533305592508</v>
      </c>
      <c r="I20" s="1">
        <f t="shared" si="4"/>
        <v>1373.630696597842</v>
      </c>
      <c r="J20" s="1">
        <f t="shared" si="4"/>
        <v>930.2540433905524</v>
      </c>
      <c r="K20" s="1">
        <f t="shared" si="4"/>
        <v>447.6985381349823</v>
      </c>
      <c r="L20" s="1">
        <f t="shared" si="4"/>
        <v>0</v>
      </c>
    </row>
    <row r="21" spans="4:12" x14ac:dyDescent="0.2">
      <c r="D21" s="18" t="s">
        <v>313</v>
      </c>
      <c r="F21" s="1">
        <f t="shared" ref="F21:L21" si="5">+F34</f>
        <v>0</v>
      </c>
      <c r="G21" s="1">
        <f t="shared" si="5"/>
        <v>0</v>
      </c>
      <c r="H21" s="1">
        <f t="shared" si="5"/>
        <v>0</v>
      </c>
      <c r="I21" s="1">
        <f t="shared" si="5"/>
        <v>0</v>
      </c>
      <c r="J21" s="1">
        <f t="shared" si="5"/>
        <v>0</v>
      </c>
      <c r="K21" s="1">
        <f t="shared" si="5"/>
        <v>0</v>
      </c>
      <c r="L21" s="1">
        <f t="shared" si="5"/>
        <v>-72.311701104856184</v>
      </c>
    </row>
    <row r="22" spans="4:12" x14ac:dyDescent="0.2">
      <c r="D22" s="52" t="s">
        <v>314</v>
      </c>
      <c r="E22" s="52"/>
      <c r="F22" s="53">
        <f t="shared" ref="F22:L22" si="6">-MAX(0,F23)*$E$7</f>
        <v>-1428.2605114999988</v>
      </c>
      <c r="G22" s="53">
        <f t="shared" si="6"/>
        <v>-1508.4320325387494</v>
      </c>
      <c r="H22" s="53">
        <f t="shared" si="6"/>
        <v>-1594.4008232006458</v>
      </c>
      <c r="I22" s="53">
        <f t="shared" si="6"/>
        <v>-1686.5395602817675</v>
      </c>
      <c r="J22" s="53">
        <f t="shared" si="6"/>
        <v>-1785.2436023268331</v>
      </c>
      <c r="K22" s="53">
        <f t="shared" si="6"/>
        <v>-1890.9323279052537</v>
      </c>
      <c r="L22" s="53">
        <f t="shared" si="6"/>
        <v>-2004.0505513092737</v>
      </c>
    </row>
    <row r="23" spans="4:12" x14ac:dyDescent="0.2">
      <c r="D23" s="69" t="s">
        <v>315</v>
      </c>
      <c r="F23" s="87">
        <f t="shared" ref="F23:L23" si="7">+F19+F20+F21</f>
        <v>5713.042045999995</v>
      </c>
      <c r="G23" s="87">
        <f t="shared" si="7"/>
        <v>6033.7281301549974</v>
      </c>
      <c r="H23" s="87">
        <f t="shared" si="7"/>
        <v>6377.6032928025834</v>
      </c>
      <c r="I23" s="87">
        <f t="shared" si="7"/>
        <v>6746.1582411270701</v>
      </c>
      <c r="J23" s="87">
        <f t="shared" si="7"/>
        <v>7140.9744093073323</v>
      </c>
      <c r="K23" s="87">
        <f t="shared" si="7"/>
        <v>7563.7293116210149</v>
      </c>
      <c r="L23" s="87">
        <f t="shared" si="7"/>
        <v>8016.2022052370949</v>
      </c>
    </row>
    <row r="24" spans="4:12" x14ac:dyDescent="0.2">
      <c r="D24" s="40" t="s">
        <v>316</v>
      </c>
      <c r="E24" s="40"/>
      <c r="F24" s="41">
        <f t="shared" ref="F24:L24" si="8">+F19+F22</f>
        <v>1928.2294898156515</v>
      </c>
      <c r="G24" s="41">
        <f t="shared" si="8"/>
        <v>2444.9761430515023</v>
      </c>
      <c r="H24" s="41">
        <f t="shared" si="8"/>
        <v>3044.1491390426868</v>
      </c>
      <c r="I24" s="41">
        <f t="shared" si="8"/>
        <v>3685.9879842474606</v>
      </c>
      <c r="J24" s="41">
        <f t="shared" si="8"/>
        <v>4425.476763589947</v>
      </c>
      <c r="K24" s="41">
        <f t="shared" si="8"/>
        <v>5225.0984455807793</v>
      </c>
      <c r="L24" s="41">
        <f t="shared" si="8"/>
        <v>6084.4633550326771</v>
      </c>
    </row>
    <row r="26" spans="4:12" x14ac:dyDescent="0.2">
      <c r="D26" s="14" t="s">
        <v>317</v>
      </c>
      <c r="E26" s="14"/>
      <c r="F26" s="14"/>
      <c r="G26" s="14"/>
      <c r="H26" s="14"/>
      <c r="I26" s="14"/>
      <c r="J26" s="14"/>
      <c r="K26" s="14"/>
      <c r="L26" s="14"/>
    </row>
    <row r="27" spans="4:12" x14ac:dyDescent="0.2">
      <c r="D27" s="18" t="s">
        <v>318</v>
      </c>
      <c r="F27" s="1">
        <f t="shared" ref="F27:L27" si="9">+F14</f>
        <v>10143.127139999995</v>
      </c>
      <c r="G27" s="1">
        <f t="shared" si="9"/>
        <v>10922.261526449996</v>
      </c>
      <c r="H27" s="1">
        <f t="shared" si="9"/>
        <v>11752.178795389118</v>
      </c>
      <c r="I27" s="1">
        <f t="shared" si="9"/>
        <v>12635.979588021728</v>
      </c>
      <c r="J27" s="1">
        <f t="shared" si="9"/>
        <v>13576.947563817597</v>
      </c>
      <c r="K27" s="1">
        <f t="shared" si="9"/>
        <v>14578.559985258678</v>
      </c>
      <c r="L27" s="1">
        <f t="shared" si="9"/>
        <v>15644.498906557797</v>
      </c>
    </row>
    <row r="28" spans="4:12" x14ac:dyDescent="0.2">
      <c r="D28" s="16" t="s">
        <v>319</v>
      </c>
      <c r="F28" s="36">
        <f t="shared" ref="F28:L28" si="10">+MAX($E$9,$E$8*F27)</f>
        <v>3042.9381419999986</v>
      </c>
      <c r="G28" s="36">
        <f t="shared" si="10"/>
        <v>3276.6784579349987</v>
      </c>
      <c r="H28" s="36">
        <f t="shared" si="10"/>
        <v>3525.6536386167354</v>
      </c>
      <c r="I28" s="36">
        <f t="shared" si="10"/>
        <v>3790.7938764065184</v>
      </c>
      <c r="J28" s="36">
        <f t="shared" si="10"/>
        <v>4073.084269145279</v>
      </c>
      <c r="K28" s="36">
        <f t="shared" si="10"/>
        <v>4373.5679955776031</v>
      </c>
      <c r="L28" s="36">
        <f t="shared" si="10"/>
        <v>4693.3496719673394</v>
      </c>
    </row>
    <row r="29" spans="4:12" x14ac:dyDescent="0.2">
      <c r="D29" s="18" t="s">
        <v>320</v>
      </c>
      <c r="F29" s="1">
        <f t="shared" ref="F29:L29" si="11">-(F17+F18)</f>
        <v>5399.4901866843438</v>
      </c>
      <c r="G29" s="1">
        <f t="shared" si="11"/>
        <v>5356.9984124997445</v>
      </c>
      <c r="H29" s="1">
        <f t="shared" si="11"/>
        <v>5264.7069691759862</v>
      </c>
      <c r="I29" s="1">
        <f t="shared" si="11"/>
        <v>5164.4245730043604</v>
      </c>
      <c r="J29" s="1">
        <f t="shared" si="11"/>
        <v>5003.3383125358314</v>
      </c>
      <c r="K29" s="1">
        <f t="shared" si="11"/>
        <v>4821.2665337125854</v>
      </c>
      <c r="L29" s="1">
        <f t="shared" si="11"/>
        <v>4621.0379708624832</v>
      </c>
    </row>
    <row r="30" spans="4:12" x14ac:dyDescent="0.2">
      <c r="D30" s="16" t="s">
        <v>321</v>
      </c>
      <c r="F30" s="36">
        <f t="shared" ref="F30:L30" si="12">+MAX(0,F29-F28)</f>
        <v>2356.5520446843452</v>
      </c>
      <c r="G30" s="36">
        <f t="shared" si="12"/>
        <v>2080.3199545647458</v>
      </c>
      <c r="H30" s="36">
        <f t="shared" si="12"/>
        <v>1739.0533305592508</v>
      </c>
      <c r="I30" s="36">
        <f t="shared" si="12"/>
        <v>1373.630696597842</v>
      </c>
      <c r="J30" s="36">
        <f t="shared" si="12"/>
        <v>930.2540433905524</v>
      </c>
      <c r="K30" s="36">
        <f t="shared" si="12"/>
        <v>447.6985381349823</v>
      </c>
      <c r="L30" s="36">
        <f t="shared" si="12"/>
        <v>0</v>
      </c>
    </row>
    <row r="31" spans="4:12" x14ac:dyDescent="0.2">
      <c r="D31" s="18" t="s">
        <v>322</v>
      </c>
      <c r="F31" s="1">
        <f t="shared" ref="F31:L31" si="13">+MAX(0,F28-F29)</f>
        <v>0</v>
      </c>
      <c r="G31" s="1">
        <f t="shared" si="13"/>
        <v>0</v>
      </c>
      <c r="H31" s="1">
        <f t="shared" si="13"/>
        <v>0</v>
      </c>
      <c r="I31" s="1">
        <f t="shared" si="13"/>
        <v>0</v>
      </c>
      <c r="J31" s="1">
        <f t="shared" si="13"/>
        <v>0</v>
      </c>
      <c r="K31" s="1">
        <f t="shared" si="13"/>
        <v>0</v>
      </c>
      <c r="L31" s="1">
        <f t="shared" si="13"/>
        <v>72.311701104856184</v>
      </c>
    </row>
    <row r="32" spans="4:12" x14ac:dyDescent="0.2">
      <c r="D32" s="18" t="s">
        <v>323</v>
      </c>
      <c r="F32" s="1">
        <f t="shared" ref="F32:L32" si="14">+E35</f>
        <v>0</v>
      </c>
      <c r="G32" s="1">
        <f t="shared" si="14"/>
        <v>2356.5520446843452</v>
      </c>
      <c r="H32" s="1">
        <f t="shared" si="14"/>
        <v>4436.8719992490915</v>
      </c>
      <c r="I32" s="1">
        <f t="shared" si="14"/>
        <v>6175.9253298083422</v>
      </c>
      <c r="J32" s="1">
        <f t="shared" si="14"/>
        <v>7549.5560264061842</v>
      </c>
      <c r="K32" s="1">
        <f t="shared" si="14"/>
        <v>8479.8100697967366</v>
      </c>
      <c r="L32" s="1">
        <f t="shared" si="14"/>
        <v>8927.5086079317189</v>
      </c>
    </row>
    <row r="33" spans="1:13" x14ac:dyDescent="0.2">
      <c r="D33" s="18" t="s">
        <v>324</v>
      </c>
      <c r="F33" s="1">
        <f t="shared" ref="F33:L33" si="15">+F30</f>
        <v>2356.5520446843452</v>
      </c>
      <c r="G33" s="1">
        <f t="shared" si="15"/>
        <v>2080.3199545647458</v>
      </c>
      <c r="H33" s="1">
        <f t="shared" si="15"/>
        <v>1739.0533305592508</v>
      </c>
      <c r="I33" s="1">
        <f t="shared" si="15"/>
        <v>1373.630696597842</v>
      </c>
      <c r="J33" s="1">
        <f t="shared" si="15"/>
        <v>930.2540433905524</v>
      </c>
      <c r="K33" s="1">
        <f t="shared" si="15"/>
        <v>447.6985381349823</v>
      </c>
      <c r="L33" s="1">
        <f t="shared" si="15"/>
        <v>0</v>
      </c>
    </row>
    <row r="34" spans="1:13" x14ac:dyDescent="0.2">
      <c r="D34" s="18" t="s">
        <v>325</v>
      </c>
      <c r="F34" s="1">
        <f t="shared" ref="F34:L34" si="16">-MIN(F32,F31)</f>
        <v>0</v>
      </c>
      <c r="G34" s="1">
        <f t="shared" si="16"/>
        <v>0</v>
      </c>
      <c r="H34" s="1">
        <f t="shared" si="16"/>
        <v>0</v>
      </c>
      <c r="I34" s="1">
        <f t="shared" si="16"/>
        <v>0</v>
      </c>
      <c r="J34" s="1">
        <f t="shared" si="16"/>
        <v>0</v>
      </c>
      <c r="K34" s="1">
        <f t="shared" si="16"/>
        <v>0</v>
      </c>
      <c r="L34" s="1">
        <f t="shared" si="16"/>
        <v>-72.311701104856184</v>
      </c>
    </row>
    <row r="35" spans="1:13" x14ac:dyDescent="0.2">
      <c r="D35" s="52" t="s">
        <v>326</v>
      </c>
      <c r="E35" s="53">
        <v>0</v>
      </c>
      <c r="F35" s="53">
        <f t="shared" ref="F35:L35" si="17">+F32+F33+F34</f>
        <v>2356.5520446843452</v>
      </c>
      <c r="G35" s="53">
        <f t="shared" si="17"/>
        <v>4436.8719992490915</v>
      </c>
      <c r="H35" s="53">
        <f t="shared" si="17"/>
        <v>6175.9253298083422</v>
      </c>
      <c r="I35" s="53">
        <f t="shared" si="17"/>
        <v>7549.5560264061842</v>
      </c>
      <c r="J35" s="53">
        <f t="shared" si="17"/>
        <v>8479.8100697967366</v>
      </c>
      <c r="K35" s="53">
        <f t="shared" si="17"/>
        <v>8927.5086079317189</v>
      </c>
      <c r="L35" s="53">
        <f t="shared" si="17"/>
        <v>8855.1969068268627</v>
      </c>
    </row>
    <row r="37" spans="1:13" x14ac:dyDescent="0.2">
      <c r="D37" s="18" t="s">
        <v>327</v>
      </c>
      <c r="F37" s="1">
        <f t="shared" ref="F37:L37" si="18">-MAX(0,F16)*$E$7</f>
        <v>-2188.9950469999985</v>
      </c>
      <c r="G37" s="1">
        <f t="shared" si="18"/>
        <v>-2327.601647022499</v>
      </c>
      <c r="H37" s="1">
        <f t="shared" si="18"/>
        <v>-2475.8142328548297</v>
      </c>
      <c r="I37" s="1">
        <f t="shared" si="18"/>
        <v>-2634.2380293833971</v>
      </c>
      <c r="J37" s="1">
        <f t="shared" si="18"/>
        <v>-2803.5146696131528</v>
      </c>
      <c r="K37" s="1">
        <f t="shared" si="18"/>
        <v>-2984.3243267996545</v>
      </c>
      <c r="L37" s="1">
        <f t="shared" si="18"/>
        <v>-3177.3879693011086</v>
      </c>
    </row>
    <row r="38" spans="1:13" x14ac:dyDescent="0.2">
      <c r="D38" s="69" t="s">
        <v>328</v>
      </c>
      <c r="F38" s="87">
        <f t="shared" ref="F38:L38" si="19">+F29*$E$7</f>
        <v>1349.872546671086</v>
      </c>
      <c r="G38" s="87">
        <f t="shared" si="19"/>
        <v>1339.2496031249361</v>
      </c>
      <c r="H38" s="87">
        <f t="shared" si="19"/>
        <v>1316.1767422939965</v>
      </c>
      <c r="I38" s="87">
        <f t="shared" si="19"/>
        <v>1291.1061432510901</v>
      </c>
      <c r="J38" s="87">
        <f t="shared" si="19"/>
        <v>1250.8345781339578</v>
      </c>
      <c r="K38" s="87">
        <f t="shared" si="19"/>
        <v>1205.3166334281464</v>
      </c>
      <c r="L38" s="87">
        <f t="shared" si="19"/>
        <v>1155.2594927156208</v>
      </c>
    </row>
    <row r="39" spans="1:13" x14ac:dyDescent="0.2">
      <c r="D39" s="52" t="s">
        <v>329</v>
      </c>
      <c r="E39" s="52"/>
      <c r="F39" s="53">
        <f t="shared" ref="F39:L39" si="20">+F22-F37</f>
        <v>760.73453549999977</v>
      </c>
      <c r="G39" s="53">
        <f t="shared" si="20"/>
        <v>819.16961448374968</v>
      </c>
      <c r="H39" s="53">
        <f t="shared" si="20"/>
        <v>881.41340965418385</v>
      </c>
      <c r="I39" s="53">
        <f t="shared" si="20"/>
        <v>947.6984691016296</v>
      </c>
      <c r="J39" s="53">
        <f t="shared" si="20"/>
        <v>1018.2710672863197</v>
      </c>
      <c r="K39" s="53">
        <f t="shared" si="20"/>
        <v>1093.3919988944008</v>
      </c>
      <c r="L39" s="53">
        <f t="shared" si="20"/>
        <v>1173.3374179918349</v>
      </c>
    </row>
    <row r="40" spans="1:13" x14ac:dyDescent="0.2">
      <c r="D40" s="69" t="s">
        <v>330</v>
      </c>
      <c r="F40" s="70">
        <f t="shared" ref="F40:L40" si="21">+IFERROR(F39/F38,0)</f>
        <v>0.56356026898690803</v>
      </c>
      <c r="G40" s="70">
        <f t="shared" si="21"/>
        <v>0.61166313775441217</v>
      </c>
      <c r="H40" s="70">
        <f t="shared" si="21"/>
        <v>0.6696770892015208</v>
      </c>
      <c r="I40" s="70">
        <f t="shared" si="21"/>
        <v>0.7340205714731266</v>
      </c>
      <c r="J40" s="70">
        <f t="shared" si="21"/>
        <v>0.81407332759013973</v>
      </c>
      <c r="K40" s="70">
        <f t="shared" si="21"/>
        <v>0.90714088611271304</v>
      </c>
      <c r="L40" s="70">
        <f t="shared" si="21"/>
        <v>1.015648367652638</v>
      </c>
    </row>
    <row r="41" spans="1:13" x14ac:dyDescent="0.2">
      <c r="D41" s="16" t="s">
        <v>331</v>
      </c>
      <c r="F41" s="48">
        <f t="shared" ref="F41:L41" si="22">+IFERROR(F39/F29,0)</f>
        <v>0.14089006724672701</v>
      </c>
      <c r="G41" s="48">
        <f t="shared" si="22"/>
        <v>0.15291578443860304</v>
      </c>
      <c r="H41" s="48">
        <f t="shared" si="22"/>
        <v>0.1674192723003802</v>
      </c>
      <c r="I41" s="48">
        <f t="shared" si="22"/>
        <v>0.18350514286828165</v>
      </c>
      <c r="J41" s="48">
        <f t="shared" si="22"/>
        <v>0.20351833189753493</v>
      </c>
      <c r="K41" s="48">
        <f t="shared" si="22"/>
        <v>0.22678522152817826</v>
      </c>
      <c r="L41" s="48">
        <f t="shared" si="22"/>
        <v>0.2539120919131595</v>
      </c>
    </row>
    <row r="44" spans="1:13" ht="16.05" customHeight="1" x14ac:dyDescent="0.2">
      <c r="A44" s="12" t="s">
        <v>4</v>
      </c>
      <c r="B44" s="12" t="s">
        <v>4</v>
      </c>
      <c r="C44" s="13" t="s">
        <v>332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6" spans="1:13" x14ac:dyDescent="0.2">
      <c r="B46" s="9">
        <v>8</v>
      </c>
      <c r="D46" s="18" t="s">
        <v>333</v>
      </c>
      <c r="E46" s="1">
        <f>'LBO Summary'!E51</f>
        <v>182493.83630080003</v>
      </c>
      <c r="F46" s="1">
        <f>'LBO Summary'!F51</f>
        <v>196232.18317241187</v>
      </c>
      <c r="G46" s="1">
        <f>'LBO Summary'!G51</f>
        <v>211305.56631426819</v>
      </c>
      <c r="H46" s="1">
        <f>'LBO Summary'!H51</f>
        <v>227361.41134988604</v>
      </c>
      <c r="I46" s="1">
        <f>'LBO Summary'!I51</f>
        <v>244459.70427612506</v>
      </c>
      <c r="J46" s="1">
        <f>'LBO Summary'!J51</f>
        <v>262663.97181976831</v>
      </c>
      <c r="K46" s="1">
        <f>'LBO Summary'!K51</f>
        <v>282041.48621341999</v>
      </c>
      <c r="L46" s="1">
        <f>'LBO Summary'!L51</f>
        <v>302663.48165603774</v>
      </c>
    </row>
    <row r="47" spans="1:13" x14ac:dyDescent="0.2">
      <c r="D47" s="18" t="s">
        <v>334</v>
      </c>
      <c r="E47" s="1">
        <f>'Debt &amp; Covenants'!E70</f>
        <v>75670.850996544003</v>
      </c>
      <c r="F47" s="1">
        <f>'Debt &amp; Covenants'!F70</f>
        <v>74147.958807871211</v>
      </c>
      <c r="G47" s="1">
        <f>'Debt &amp; Covenants'!G70</f>
        <v>71993.02880038257</v>
      </c>
      <c r="H47" s="1">
        <f>'Debt &amp; Covenants'!H70</f>
        <v>69115.435973215848</v>
      </c>
      <c r="I47" s="1">
        <f>'Debt &amp; Covenants'!I70</f>
        <v>65465.72253685465</v>
      </c>
      <c r="J47" s="1">
        <f>'Debt &amp; Covenants'!J70</f>
        <v>60939.073060141876</v>
      </c>
      <c r="K47" s="1">
        <f>'Debt &amp; Covenants'!K70</f>
        <v>55467.795041073652</v>
      </c>
      <c r="L47" s="1">
        <f>'Debt &amp; Covenants'!L70</f>
        <v>48984.16987486885</v>
      </c>
    </row>
    <row r="48" spans="1:13" x14ac:dyDescent="0.2">
      <c r="D48" s="16" t="s">
        <v>335</v>
      </c>
      <c r="E48" s="36">
        <f t="shared" ref="E48:L48" si="23">+E46-E47</f>
        <v>106822.98530425603</v>
      </c>
      <c r="F48" s="36">
        <f t="shared" si="23"/>
        <v>122084.22436454066</v>
      </c>
      <c r="G48" s="36">
        <f t="shared" si="23"/>
        <v>139312.53751388562</v>
      </c>
      <c r="H48" s="36">
        <f t="shared" si="23"/>
        <v>158245.97537667019</v>
      </c>
      <c r="I48" s="36">
        <f t="shared" si="23"/>
        <v>178993.98173927041</v>
      </c>
      <c r="J48" s="36">
        <f t="shared" si="23"/>
        <v>201724.89875962643</v>
      </c>
      <c r="K48" s="36">
        <f t="shared" si="23"/>
        <v>226573.69117234636</v>
      </c>
      <c r="L48" s="36">
        <f t="shared" si="23"/>
        <v>253679.31178116889</v>
      </c>
    </row>
    <row r="49" spans="4:12" x14ac:dyDescent="0.2">
      <c r="D49" s="69" t="s">
        <v>336</v>
      </c>
      <c r="E49" s="90">
        <f t="shared" ref="E49:L49" si="24">+MAX(0,E47/E48)</f>
        <v>0.70837611194834427</v>
      </c>
      <c r="F49" s="90">
        <f t="shared" si="24"/>
        <v>0.60735086120928394</v>
      </c>
      <c r="G49" s="90">
        <f t="shared" si="24"/>
        <v>0.51677350858106974</v>
      </c>
      <c r="H49" s="90">
        <f t="shared" si="24"/>
        <v>0.43675951826706211</v>
      </c>
      <c r="I49" s="90">
        <f t="shared" si="24"/>
        <v>0.36574259034147061</v>
      </c>
      <c r="J49" s="90">
        <f t="shared" si="24"/>
        <v>0.30208999203790071</v>
      </c>
      <c r="K49" s="90">
        <f t="shared" si="24"/>
        <v>0.24481127863552932</v>
      </c>
      <c r="L49" s="90">
        <f t="shared" si="24"/>
        <v>0.19309485480283869</v>
      </c>
    </row>
    <row r="50" spans="4:12" x14ac:dyDescent="0.2">
      <c r="D50" s="18" t="s">
        <v>337</v>
      </c>
      <c r="E50" s="2">
        <f t="shared" ref="E50:L50" si="25">+MAX(0,E47/E46)</f>
        <v>0.41464880420299582</v>
      </c>
      <c r="F50" s="2">
        <f t="shared" si="25"/>
        <v>0.3778582983135032</v>
      </c>
      <c r="G50" s="2">
        <f t="shared" si="25"/>
        <v>0.3407057847842474</v>
      </c>
      <c r="H50" s="2">
        <f t="shared" si="25"/>
        <v>0.30398929863632063</v>
      </c>
      <c r="I50" s="2">
        <f t="shared" si="25"/>
        <v>0.26779760177942874</v>
      </c>
      <c r="J50" s="2">
        <f t="shared" si="25"/>
        <v>0.23200392744367826</v>
      </c>
      <c r="K50" s="2">
        <f t="shared" si="25"/>
        <v>0.19666537638048515</v>
      </c>
      <c r="L50" s="2">
        <f t="shared" si="25"/>
        <v>0.16184367405955161</v>
      </c>
    </row>
    <row r="51" spans="4:12" x14ac:dyDescent="0.2">
      <c r="D51" s="18" t="s">
        <v>338</v>
      </c>
      <c r="E51" s="2">
        <f t="shared" ref="E51:L51" si="26">1-E50</f>
        <v>0.58535119579700412</v>
      </c>
      <c r="F51" s="2">
        <f t="shared" si="26"/>
        <v>0.62214170168649674</v>
      </c>
      <c r="G51" s="2">
        <f t="shared" si="26"/>
        <v>0.6592942152157526</v>
      </c>
      <c r="H51" s="2">
        <f t="shared" si="26"/>
        <v>0.69601070136367937</v>
      </c>
      <c r="I51" s="2">
        <f t="shared" si="26"/>
        <v>0.7322023982205712</v>
      </c>
      <c r="J51" s="2">
        <f t="shared" si="26"/>
        <v>0.76799607255632174</v>
      </c>
      <c r="K51" s="2">
        <f t="shared" si="26"/>
        <v>0.80333462361951491</v>
      </c>
      <c r="L51" s="2">
        <f t="shared" si="26"/>
        <v>0.83815632594044842</v>
      </c>
    </row>
    <row r="53" spans="4:12" x14ac:dyDescent="0.2">
      <c r="D53" s="18" t="s">
        <v>339</v>
      </c>
      <c r="E53" s="95">
        <f t="shared" ref="E53:L53" si="27">+$J$7+$J$9*$J$8</f>
        <v>7.4399999999999994E-2</v>
      </c>
      <c r="F53" s="95">
        <f t="shared" si="27"/>
        <v>7.4399999999999994E-2</v>
      </c>
      <c r="G53" s="95">
        <f t="shared" si="27"/>
        <v>7.4399999999999994E-2</v>
      </c>
      <c r="H53" s="95">
        <f t="shared" si="27"/>
        <v>7.4399999999999994E-2</v>
      </c>
      <c r="I53" s="95">
        <f t="shared" si="27"/>
        <v>7.4399999999999994E-2</v>
      </c>
      <c r="J53" s="95">
        <f t="shared" si="27"/>
        <v>7.4399999999999994E-2</v>
      </c>
      <c r="K53" s="95">
        <f t="shared" si="27"/>
        <v>7.4399999999999994E-2</v>
      </c>
      <c r="L53" s="95">
        <f t="shared" si="27"/>
        <v>7.4399999999999994E-2</v>
      </c>
    </row>
    <row r="54" spans="4:12" x14ac:dyDescent="0.2">
      <c r="D54" s="16" t="s">
        <v>340</v>
      </c>
      <c r="E54" s="79">
        <f>+$J$9*(1+(1-$E$7)*E49)</f>
        <v>1.1944000254897815</v>
      </c>
      <c r="F54" s="79">
        <f t="shared" ref="F54:L54" si="28">+$J$9*(1+(1-F41)*F49)</f>
        <v>1.1869893028742973</v>
      </c>
      <c r="G54" s="79">
        <f t="shared" si="28"/>
        <v>1.1214455320686589</v>
      </c>
      <c r="H54" s="79">
        <f t="shared" si="28"/>
        <v>1.0636372948878503</v>
      </c>
      <c r="I54" s="79">
        <f t="shared" si="28"/>
        <v>1.0129290163573179</v>
      </c>
      <c r="J54" s="79">
        <f t="shared" si="28"/>
        <v>0.96767512980481796</v>
      </c>
      <c r="K54" s="79">
        <f t="shared" si="28"/>
        <v>0.92764752489050806</v>
      </c>
      <c r="L54" s="79">
        <f t="shared" si="28"/>
        <v>0.89237127430010221</v>
      </c>
    </row>
    <row r="55" spans="4:12" x14ac:dyDescent="0.2">
      <c r="D55" s="16" t="s">
        <v>341</v>
      </c>
      <c r="E55" s="48">
        <f t="shared" ref="E55:L55" si="29">+$J$7+E54*$J$8</f>
        <v>9.7192001401937983E-2</v>
      </c>
      <c r="F55" s="48">
        <f t="shared" si="29"/>
        <v>9.678441165808635E-2</v>
      </c>
      <c r="G55" s="48">
        <f t="shared" si="29"/>
        <v>9.3179504263776247E-2</v>
      </c>
      <c r="H55" s="48">
        <f t="shared" si="29"/>
        <v>9.000005121883177E-2</v>
      </c>
      <c r="I55" s="48">
        <f t="shared" si="29"/>
        <v>8.721109589965248E-2</v>
      </c>
      <c r="J55" s="48">
        <f t="shared" si="29"/>
        <v>8.4722132139264994E-2</v>
      </c>
      <c r="K55" s="48">
        <f t="shared" si="29"/>
        <v>8.2520613868977938E-2</v>
      </c>
      <c r="L55" s="48">
        <f t="shared" si="29"/>
        <v>8.0580420086505622E-2</v>
      </c>
    </row>
    <row r="56" spans="4:12" x14ac:dyDescent="0.2">
      <c r="D56" s="18" t="s">
        <v>342</v>
      </c>
      <c r="E56" s="95">
        <f>'Debt &amp; Covenants'!$E$7</f>
        <v>6.8543445670951095E-2</v>
      </c>
      <c r="F56" s="95">
        <f>+IFERROR(-F17/'Debt &amp; Covenants'!F64,'Debt &amp; Covenants'!$E$7)</f>
        <v>6.8296529590668481E-2</v>
      </c>
      <c r="G56" s="95">
        <f>+IFERROR(-G17/'Debt &amp; Covenants'!G64,'Debt &amp; Covenants'!$E$7)</f>
        <v>6.8758666266075796E-2</v>
      </c>
      <c r="H56" s="95">
        <f>+IFERROR(-H17/'Debt &amp; Covenants'!H64,'Debt &amp; Covenants'!$E$7)</f>
        <v>6.9483076989130838E-2</v>
      </c>
      <c r="I56" s="95">
        <f>+IFERROR(-I17/'Debt &amp; Covenants'!I64,'Debt &amp; Covenants'!$E$7)</f>
        <v>7.0892996335574068E-2</v>
      </c>
      <c r="J56" s="95">
        <f>+IFERROR(-J17/'Debt &amp; Covenants'!J64,'Debt &amp; Covenants'!$E$7)</f>
        <v>7.2191718857138376E-2</v>
      </c>
      <c r="K56" s="95">
        <f>+IFERROR(-K17/'Debt &amp; Covenants'!K64,'Debt &amp; Covenants'!$E$7)</f>
        <v>7.4448527471398282E-2</v>
      </c>
      <c r="L56" s="95">
        <f>+IFERROR(-L17/'Debt &amp; Covenants'!L64,'Debt &amp; Covenants'!$E$7)</f>
        <v>7.7818463909799573E-2</v>
      </c>
    </row>
    <row r="57" spans="4:12" x14ac:dyDescent="0.2">
      <c r="D57" s="69" t="s">
        <v>343</v>
      </c>
      <c r="E57" s="96">
        <f>+$E$7</f>
        <v>0.25</v>
      </c>
      <c r="F57" s="96">
        <f t="shared" ref="F57:L57" si="30">+F41</f>
        <v>0.14089006724672701</v>
      </c>
      <c r="G57" s="96">
        <f t="shared" si="30"/>
        <v>0.15291578443860304</v>
      </c>
      <c r="H57" s="96">
        <f t="shared" si="30"/>
        <v>0.1674192723003802</v>
      </c>
      <c r="I57" s="96">
        <f t="shared" si="30"/>
        <v>0.18350514286828165</v>
      </c>
      <c r="J57" s="96">
        <f t="shared" si="30"/>
        <v>0.20351833189753493</v>
      </c>
      <c r="K57" s="96">
        <f t="shared" si="30"/>
        <v>0.22678522152817826</v>
      </c>
      <c r="L57" s="96">
        <f t="shared" si="30"/>
        <v>0.2539120919131595</v>
      </c>
    </row>
    <row r="58" spans="4:12" x14ac:dyDescent="0.2">
      <c r="D58" s="16" t="s">
        <v>344</v>
      </c>
      <c r="E58" s="48">
        <f t="shared" ref="E58:L58" si="31">+E56*(1-E57)</f>
        <v>5.1407584253213318E-2</v>
      </c>
      <c r="F58" s="48">
        <f t="shared" si="31"/>
        <v>5.8674226943921118E-2</v>
      </c>
      <c r="G58" s="48">
        <f t="shared" si="31"/>
        <v>5.8244380877046698E-2</v>
      </c>
      <c r="H58" s="48">
        <f t="shared" si="31"/>
        <v>5.7850270802419258E-2</v>
      </c>
      <c r="I58" s="48">
        <f t="shared" si="31"/>
        <v>5.7883766914653981E-2</v>
      </c>
      <c r="J58" s="48">
        <f t="shared" si="31"/>
        <v>5.7499380658517764E-2</v>
      </c>
      <c r="K58" s="48">
        <f t="shared" si="31"/>
        <v>5.7564701676350555E-2</v>
      </c>
      <c r="L58" s="48">
        <f t="shared" si="31"/>
        <v>5.8059414948993665E-2</v>
      </c>
    </row>
    <row r="59" spans="4:12" x14ac:dyDescent="0.2">
      <c r="D59" s="52" t="s">
        <v>345</v>
      </c>
      <c r="E59" s="97">
        <f t="shared" ref="E59:L59" si="32">+E55*E51+E58*E50</f>
        <v>7.820754758008816E-2</v>
      </c>
      <c r="F59" s="97">
        <f t="shared" si="32"/>
        <v>8.2384162113578588E-2</v>
      </c>
      <c r="G59" s="97">
        <f t="shared" si="32"/>
        <v>8.127690563376605E-2</v>
      </c>
      <c r="H59" s="97">
        <f t="shared" si="32"/>
        <v>8.0226862018734829E-2</v>
      </c>
      <c r="I59" s="97">
        <f t="shared" si="32"/>
        <v>7.9357307530873555E-2</v>
      </c>
      <c r="J59" s="97">
        <f t="shared" si="32"/>
        <v>7.8406346879908426E-2</v>
      </c>
      <c r="K59" s="97">
        <f t="shared" si="32"/>
        <v>7.761265000469654E-2</v>
      </c>
      <c r="L59" s="97">
        <f t="shared" si="32"/>
        <v>7.6935537871536647E-2</v>
      </c>
    </row>
    <row r="60" spans="4:12" x14ac:dyDescent="0.2">
      <c r="D60" s="55" t="s">
        <v>346</v>
      </c>
      <c r="E60" s="98">
        <f t="shared" ref="E60:L60" si="33">+E59-E53</f>
        <v>3.8075475800881664E-3</v>
      </c>
      <c r="F60" s="98">
        <f t="shared" si="33"/>
        <v>7.984162113578594E-3</v>
      </c>
      <c r="G60" s="98">
        <f t="shared" si="33"/>
        <v>6.8769056337660561E-3</v>
      </c>
      <c r="H60" s="98">
        <f t="shared" si="33"/>
        <v>5.8268620187348352E-3</v>
      </c>
      <c r="I60" s="98">
        <f t="shared" si="33"/>
        <v>4.9573075308735615E-3</v>
      </c>
      <c r="J60" s="98">
        <f t="shared" si="33"/>
        <v>4.0063468799084317E-3</v>
      </c>
      <c r="K60" s="98">
        <f t="shared" si="33"/>
        <v>3.2126500046965462E-3</v>
      </c>
      <c r="L60" s="98">
        <f t="shared" si="33"/>
        <v>2.5355378715366528E-3</v>
      </c>
    </row>
    <row r="62" spans="4:12" x14ac:dyDescent="0.2">
      <c r="D62" s="16" t="s">
        <v>347</v>
      </c>
      <c r="E62" s="36">
        <f>+SUM(F39:L39)</f>
        <v>6694.0165129121178</v>
      </c>
    </row>
    <row r="63" spans="4:12" x14ac:dyDescent="0.2">
      <c r="D63" s="16" t="s">
        <v>348</v>
      </c>
      <c r="E63" s="36">
        <f>+NPV(E53,F39:L39)</f>
        <v>4971.7429414891058</v>
      </c>
    </row>
    <row r="64" spans="4:12" x14ac:dyDescent="0.2">
      <c r="D64" s="69" t="s">
        <v>349</v>
      </c>
      <c r="E64" s="87">
        <f>+L35</f>
        <v>8855.1969068268627</v>
      </c>
    </row>
  </sheetData>
  <mergeCells count="5">
    <mergeCell ref="G10:I10"/>
    <mergeCell ref="G8:I8"/>
    <mergeCell ref="G9:I9"/>
    <mergeCell ref="G7:I7"/>
    <mergeCell ref="G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showGridLines="0" workbookViewId="0">
      <selection activeCell="D9" sqref="D9"/>
    </sheetView>
  </sheetViews>
  <sheetFormatPr baseColWidth="10" defaultColWidth="9.140625" defaultRowHeight="10.199999999999999" x14ac:dyDescent="0.2"/>
  <cols>
    <col min="1" max="1" width="3" customWidth="1"/>
    <col min="2" max="2" width="4" customWidth="1"/>
    <col min="3" max="3" width="6" customWidth="1"/>
    <col min="4" max="4" width="56" customWidth="1"/>
    <col min="5" max="5" width="16" customWidth="1"/>
    <col min="6" max="6" width="14" customWidth="1"/>
  </cols>
  <sheetData>
    <row r="1" spans="1:6" ht="18" customHeight="1" x14ac:dyDescent="0.3">
      <c r="A1" s="3"/>
      <c r="B1" s="4" t="s">
        <v>0</v>
      </c>
      <c r="C1" s="3"/>
      <c r="D1" s="3"/>
      <c r="E1" s="3"/>
      <c r="F1" s="5" t="s">
        <v>1</v>
      </c>
    </row>
    <row r="2" spans="1:6" ht="16.05" customHeight="1" x14ac:dyDescent="0.25">
      <c r="A2" s="6" t="s">
        <v>2</v>
      </c>
      <c r="B2" s="6" t="s">
        <v>350</v>
      </c>
      <c r="C2" s="3"/>
      <c r="D2" s="3"/>
      <c r="E2" s="3"/>
      <c r="F2" s="3"/>
    </row>
    <row r="4" spans="1:6" x14ac:dyDescent="0.2">
      <c r="C4" s="7" t="s">
        <v>351</v>
      </c>
      <c r="D4" s="8" t="s">
        <v>352</v>
      </c>
      <c r="E4" s="99" t="s">
        <v>353</v>
      </c>
      <c r="F4" s="7" t="s">
        <v>354</v>
      </c>
    </row>
    <row r="5" spans="1:6" ht="19.95" customHeight="1" x14ac:dyDescent="0.2">
      <c r="C5" s="32">
        <v>1</v>
      </c>
      <c r="D5" s="18" t="s">
        <v>355</v>
      </c>
      <c r="E5" s="35">
        <f>'LBO Summary'!E40-'LBO Summary'!J40</f>
        <v>0</v>
      </c>
      <c r="F5" s="100" t="str">
        <f>IF(ABS(E5)&lt;0.01,"OK","CHECK")</f>
        <v>OK</v>
      </c>
    </row>
    <row r="6" spans="1:6" ht="19.95" customHeight="1" x14ac:dyDescent="0.2">
      <c r="C6" s="32">
        <v>2</v>
      </c>
      <c r="D6" s="18" t="s">
        <v>356</v>
      </c>
      <c r="E6" s="101">
        <f>'LBO Summary'!F45-1</f>
        <v>0</v>
      </c>
      <c r="F6" s="100" t="str">
        <f>IF(ABS(E6)&lt;0.0001,"OK","CHECK")</f>
        <v>OK</v>
      </c>
    </row>
    <row r="7" spans="1:6" ht="19.95" customHeight="1" x14ac:dyDescent="0.2">
      <c r="C7" s="32">
        <v>3</v>
      </c>
      <c r="D7" s="18" t="s">
        <v>357</v>
      </c>
      <c r="E7" s="101">
        <f>'LBO Summary'!F14+'LBO Summary'!F15</f>
        <v>1</v>
      </c>
      <c r="F7" s="100" t="str">
        <f>IF(E7&gt;=0.75,"OK","CHECK")</f>
        <v>OK</v>
      </c>
    </row>
    <row r="8" spans="1:6" ht="19.95" customHeight="1" x14ac:dyDescent="0.2">
      <c r="C8" s="32">
        <v>4</v>
      </c>
      <c r="D8" s="18" t="s">
        <v>358</v>
      </c>
      <c r="E8" s="44">
        <f>'Tax &amp; WACC'!J10-'Tax &amp; WACC'!E10</f>
        <v>-0.30366956208506701</v>
      </c>
      <c r="F8" s="100" t="str">
        <f>IF(E8&lt;=0,"OK","BREACH")</f>
        <v>OK</v>
      </c>
    </row>
    <row r="9" spans="1:6" ht="19.95" customHeight="1" x14ac:dyDescent="0.2">
      <c r="C9" s="32">
        <v>5</v>
      </c>
      <c r="D9" s="18" t="s">
        <v>359</v>
      </c>
      <c r="E9" s="101">
        <f>'Debt &amp; Covenants'!M25</f>
        <v>0</v>
      </c>
      <c r="F9" s="100" t="str">
        <f>IF(ABS(E9)&lt;0.0001,"OK","CHECK")</f>
        <v>OK</v>
      </c>
    </row>
    <row r="10" spans="1:6" ht="19.95" customHeight="1" x14ac:dyDescent="0.2">
      <c r="C10" s="32">
        <v>6</v>
      </c>
      <c r="D10" s="18" t="s">
        <v>360</v>
      </c>
      <c r="E10" s="35">
        <f>MIN('Debt &amp; Covenants'!E93:L93)-'Debt &amp; Covenants'!E92</f>
        <v>0</v>
      </c>
      <c r="F10" s="100" t="str">
        <f>IF(E10&gt;=-0.01,"OK","CHECK")</f>
        <v>OK</v>
      </c>
    </row>
    <row r="11" spans="1:6" ht="19.95" customHeight="1" x14ac:dyDescent="0.2">
      <c r="C11" s="32">
        <v>7</v>
      </c>
      <c r="D11" s="18" t="s">
        <v>361</v>
      </c>
      <c r="E11" s="35">
        <f>MIN('Debt &amp; Covenants'!E24:L24,'Debt &amp; Covenants'!E34:L34,'Debt &amp; Covenants'!E43:L43,'Debt &amp; Covenants'!E52:L52)</f>
        <v>0</v>
      </c>
      <c r="F11" s="100" t="str">
        <f>IF(E11&gt;=-0.01,"OK","CHECK")</f>
        <v>OK</v>
      </c>
    </row>
    <row r="12" spans="1:6" ht="19.95" customHeight="1" x14ac:dyDescent="0.2">
      <c r="C12" s="32">
        <v>8</v>
      </c>
      <c r="D12" s="18" t="s">
        <v>362</v>
      </c>
      <c r="E12" s="35">
        <f>MAX(ABS('Active Case'!M32-'Active Case'!M49),ABS('Active Case'!S32-'Active Case'!S49))</f>
        <v>0</v>
      </c>
      <c r="F12" s="100" t="str">
        <f>IF(E12&lt;0.01,"OK","CHECK")</f>
        <v>OK</v>
      </c>
    </row>
    <row r="13" spans="1:6" ht="19.95" customHeight="1" x14ac:dyDescent="0.2">
      <c r="C13" s="32">
        <v>9</v>
      </c>
      <c r="D13" s="18" t="s">
        <v>363</v>
      </c>
      <c r="E13" s="102">
        <f>COUNTIF('Debt &amp; Covenants'!E102:L102,"BREACH")</f>
        <v>0</v>
      </c>
      <c r="F13" s="100" t="str">
        <f>IF(E13=0,"OK","BREACH")</f>
        <v>OK</v>
      </c>
    </row>
    <row r="14" spans="1:6" ht="19.95" customHeight="1" x14ac:dyDescent="0.2">
      <c r="C14" s="32">
        <v>10</v>
      </c>
      <c r="D14" s="18" t="s">
        <v>364</v>
      </c>
      <c r="E14" s="102">
        <f>COUNTIF('Debt &amp; Covenants'!F108:L108,"BREACH")</f>
        <v>0</v>
      </c>
      <c r="F14" s="100" t="str">
        <f>IF(E14=0,"OK","BREACH")</f>
        <v>OK</v>
      </c>
    </row>
    <row r="15" spans="1:6" ht="19.95" customHeight="1" x14ac:dyDescent="0.2">
      <c r="C15" s="32">
        <v>11</v>
      </c>
      <c r="D15" s="18" t="s">
        <v>365</v>
      </c>
      <c r="E15" s="35">
        <f>ABS(SUM('LBO Summary'!E82:L82)+'LBO Summary'!E84+SUM('LBO Summary'!F84:L84)-SUM('LBO Summary'!E73:L73))</f>
        <v>1.1641532182693481E-10</v>
      </c>
      <c r="F15" s="155" t="str">
        <f>IF(E15&lt;0.01,"OK","CHECK")</f>
        <v>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Instructions</vt:lpstr>
      <vt:lpstr>LBO Summary</vt:lpstr>
      <vt:lpstr>Active Case</vt:lpstr>
      <vt:lpstr>Debt &amp; Covenants</vt:lpstr>
      <vt:lpstr>Tax &amp; WACC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Longás</dc:creator>
  <cp:lastModifiedBy>ANXO BRANDAN HERRERA CASTRO</cp:lastModifiedBy>
  <dcterms:created xsi:type="dcterms:W3CDTF">2024-02-23T12:53:07Z</dcterms:created>
  <dcterms:modified xsi:type="dcterms:W3CDTF">2026-10-27T17:28:01Z</dcterms:modified>
</cp:coreProperties>
</file>