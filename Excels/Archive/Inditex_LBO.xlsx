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13_ncr:1_{DFF5780D-4865-42CE-880A-C31D3915978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" sheetId="2" r:id="rId2"/>
  </sheets>
  <externalReferences>
    <externalReference r:id="rId3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" i="2" l="1"/>
  <c r="D11" i="1"/>
  <c r="D10" i="1"/>
  <c r="D9" i="1"/>
  <c r="D8" i="1"/>
  <c r="D7" i="1"/>
  <c r="D6" i="1"/>
  <c r="D5" i="1"/>
  <c r="D221" i="2"/>
  <c r="N214" i="2"/>
  <c r="M212" i="2"/>
  <c r="R200" i="2"/>
  <c r="Q200" i="2"/>
  <c r="P200" i="2"/>
  <c r="O200" i="2"/>
  <c r="N200" i="2"/>
  <c r="J193" i="2"/>
  <c r="K193" i="2" s="1"/>
  <c r="L193" i="2" s="1"/>
  <c r="M193" i="2" s="1"/>
  <c r="N193" i="2" s="1"/>
  <c r="O193" i="2" s="1"/>
  <c r="P193" i="2" s="1"/>
  <c r="Q193" i="2" s="1"/>
  <c r="R193" i="2" s="1"/>
  <c r="D186" i="2"/>
  <c r="E175" i="2"/>
  <c r="F166" i="2"/>
  <c r="F162" i="2"/>
  <c r="F159" i="2"/>
  <c r="F153" i="2"/>
  <c r="H150" i="2"/>
  <c r="F149" i="2"/>
  <c r="F151" i="2" s="1"/>
  <c r="M139" i="2"/>
  <c r="M140" i="2" s="1"/>
  <c r="J126" i="2"/>
  <c r="M125" i="2"/>
  <c r="L125" i="2"/>
  <c r="K125" i="2"/>
  <c r="J125" i="2"/>
  <c r="J122" i="2"/>
  <c r="K122" i="2" s="1"/>
  <c r="L122" i="2" s="1"/>
  <c r="M122" i="2" s="1"/>
  <c r="N122" i="2" s="1"/>
  <c r="O122" i="2" s="1"/>
  <c r="P122" i="2" s="1"/>
  <c r="Q122" i="2" s="1"/>
  <c r="R122" i="2" s="1"/>
  <c r="M97" i="2"/>
  <c r="M98" i="2" s="1"/>
  <c r="R92" i="2"/>
  <c r="Q92" i="2"/>
  <c r="P92" i="2"/>
  <c r="O92" i="2"/>
  <c r="N92" i="2"/>
  <c r="R82" i="2"/>
  <c r="T82" i="2" s="1"/>
  <c r="Q231" i="2" s="1"/>
  <c r="R231" i="2" s="1"/>
  <c r="M62" i="2"/>
  <c r="N60" i="2"/>
  <c r="M54" i="2"/>
  <c r="M127" i="2" s="1"/>
  <c r="L54" i="2"/>
  <c r="L127" i="2" s="1"/>
  <c r="K54" i="2"/>
  <c r="K127" i="2" s="1"/>
  <c r="J54" i="2"/>
  <c r="J127" i="2" s="1"/>
  <c r="N53" i="2"/>
  <c r="M53" i="2"/>
  <c r="L53" i="2"/>
  <c r="K53" i="2"/>
  <c r="M46" i="2"/>
  <c r="L46" i="2"/>
  <c r="K46" i="2"/>
  <c r="J46" i="2"/>
  <c r="J40" i="2"/>
  <c r="K40" i="2" s="1"/>
  <c r="L40" i="2" s="1"/>
  <c r="M40" i="2" s="1"/>
  <c r="N40" i="2" s="1"/>
  <c r="O40" i="2" s="1"/>
  <c r="P40" i="2" s="1"/>
  <c r="Q40" i="2" s="1"/>
  <c r="R40" i="2" s="1"/>
  <c r="M31" i="2"/>
  <c r="L31" i="2"/>
  <c r="K31" i="2"/>
  <c r="J31" i="2"/>
  <c r="M26" i="2"/>
  <c r="L26" i="2"/>
  <c r="K26" i="2"/>
  <c r="J26" i="2"/>
  <c r="M24" i="2"/>
  <c r="L24" i="2"/>
  <c r="K24" i="2"/>
  <c r="J24" i="2"/>
  <c r="M22" i="2"/>
  <c r="L22" i="2"/>
  <c r="K22" i="2"/>
  <c r="J22" i="2"/>
  <c r="K20" i="2"/>
  <c r="L20" i="2" s="1"/>
  <c r="M20" i="2" s="1"/>
  <c r="M17" i="2"/>
  <c r="L17" i="2"/>
  <c r="K17" i="2"/>
  <c r="J17" i="2"/>
  <c r="H17" i="2"/>
  <c r="M16" i="2"/>
  <c r="L16" i="2"/>
  <c r="K16" i="2"/>
  <c r="J16" i="2"/>
  <c r="H16" i="2"/>
  <c r="M15" i="2"/>
  <c r="L15" i="2"/>
  <c r="K15" i="2"/>
  <c r="J15" i="2"/>
  <c r="H15" i="2"/>
  <c r="M14" i="2"/>
  <c r="L14" i="2"/>
  <c r="K14" i="2"/>
  <c r="J14" i="2"/>
  <c r="H14" i="2"/>
  <c r="M13" i="2"/>
  <c r="L13" i="2"/>
  <c r="K13" i="2"/>
  <c r="H13" i="2"/>
  <c r="H12" i="2"/>
  <c r="M11" i="2"/>
  <c r="L11" i="2"/>
  <c r="K11" i="2"/>
  <c r="J11" i="2"/>
  <c r="H11" i="2"/>
  <c r="H10" i="2"/>
  <c r="H9" i="2"/>
  <c r="K8" i="2"/>
  <c r="L8" i="2" s="1"/>
  <c r="M8" i="2" s="1"/>
  <c r="N8" i="2" s="1"/>
  <c r="O8" i="2" s="1"/>
  <c r="P8" i="2" s="1"/>
  <c r="Q8" i="2" s="1"/>
  <c r="R8" i="2" s="1"/>
  <c r="H8" i="2"/>
  <c r="O214" i="2" l="1"/>
  <c r="D215" i="2"/>
  <c r="N212" i="2"/>
  <c r="K146" i="2"/>
  <c r="F154" i="2"/>
  <c r="E180" i="2" s="1"/>
  <c r="N139" i="2"/>
  <c r="M99" i="2"/>
  <c r="N96" i="2"/>
  <c r="N61" i="2"/>
  <c r="N62" i="2" s="1"/>
  <c r="O60" i="2" s="1"/>
  <c r="M47" i="2"/>
  <c r="M48" i="2"/>
  <c r="M126" i="2" s="1"/>
  <c r="L47" i="2"/>
  <c r="K47" i="2"/>
  <c r="L48" i="2"/>
  <c r="L126" i="2" s="1"/>
  <c r="J47" i="2"/>
  <c r="K48" i="2"/>
  <c r="K126" i="2" s="1"/>
  <c r="M29" i="2"/>
  <c r="M27" i="2"/>
  <c r="U26" i="2"/>
  <c r="L29" i="2"/>
  <c r="L27" i="2"/>
  <c r="K29" i="2"/>
  <c r="K27" i="2"/>
  <c r="J29" i="2"/>
  <c r="J27" i="2"/>
  <c r="N20" i="2"/>
  <c r="U21" i="2"/>
  <c r="U22" i="2"/>
  <c r="U23" i="2"/>
  <c r="U25" i="2"/>
  <c r="U28" i="2"/>
  <c r="U35" i="2"/>
  <c r="R17" i="2"/>
  <c r="Q17" i="2"/>
  <c r="P17" i="2"/>
  <c r="O17" i="2"/>
  <c r="N17" i="2"/>
  <c r="R16" i="2"/>
  <c r="Q16" i="2"/>
  <c r="P16" i="2"/>
  <c r="O16" i="2"/>
  <c r="N16" i="2"/>
  <c r="R15" i="2"/>
  <c r="Q15" i="2"/>
  <c r="P15" i="2"/>
  <c r="O15" i="2"/>
  <c r="N15" i="2"/>
  <c r="P14" i="2"/>
  <c r="R14" i="2"/>
  <c r="Q14" i="2"/>
  <c r="O14" i="2"/>
  <c r="N14" i="2"/>
  <c r="P13" i="2"/>
  <c r="O13" i="2"/>
  <c r="R13" i="2"/>
  <c r="Q13" i="2"/>
  <c r="N13" i="2"/>
  <c r="N28" i="2" s="1"/>
  <c r="O28" i="2" s="1"/>
  <c r="P28" i="2" s="1"/>
  <c r="Q28" i="2" s="1"/>
  <c r="R28" i="2" s="1"/>
  <c r="P12" i="2"/>
  <c r="N12" i="2"/>
  <c r="N25" i="2" s="1"/>
  <c r="R12" i="2"/>
  <c r="Q12" i="2"/>
  <c r="O12" i="2"/>
  <c r="R11" i="2"/>
  <c r="P11" i="2"/>
  <c r="N11" i="2"/>
  <c r="Q11" i="2"/>
  <c r="O11" i="2"/>
  <c r="O10" i="2"/>
  <c r="R10" i="2"/>
  <c r="Q10" i="2"/>
  <c r="P10" i="2"/>
  <c r="N10" i="2"/>
  <c r="N21" i="2" s="1"/>
  <c r="U24" i="2"/>
  <c r="U31" i="2"/>
  <c r="P214" i="2" l="1"/>
  <c r="D216" i="2"/>
  <c r="O212" i="2"/>
  <c r="K148" i="2"/>
  <c r="E183" i="2"/>
  <c r="N100" i="2"/>
  <c r="O61" i="2"/>
  <c r="O62" i="2" s="1"/>
  <c r="P60" i="2" s="1"/>
  <c r="U29" i="2"/>
  <c r="M30" i="2"/>
  <c r="M32" i="2"/>
  <c r="F146" i="2"/>
  <c r="K147" i="2" s="1"/>
  <c r="K150" i="2" s="1"/>
  <c r="M124" i="2"/>
  <c r="M128" i="2" s="1"/>
  <c r="L30" i="2"/>
  <c r="L32" i="2"/>
  <c r="L34" i="2" s="1"/>
  <c r="L36" i="2" s="1"/>
  <c r="L124" i="2"/>
  <c r="L128" i="2" s="1"/>
  <c r="K30" i="2"/>
  <c r="K32" i="2"/>
  <c r="K34" i="2" s="1"/>
  <c r="K36" i="2" s="1"/>
  <c r="K124" i="2"/>
  <c r="K128" i="2" s="1"/>
  <c r="J30" i="2"/>
  <c r="J32" i="2"/>
  <c r="J34" i="2" s="1"/>
  <c r="J36" i="2" s="1"/>
  <c r="J124" i="2"/>
  <c r="J128" i="2" s="1"/>
  <c r="O20" i="2"/>
  <c r="G67" i="2"/>
  <c r="O21" i="2"/>
  <c r="N23" i="2"/>
  <c r="N43" i="2"/>
  <c r="N44" i="2"/>
  <c r="N45" i="2"/>
  <c r="N57" i="2"/>
  <c r="U27" i="2"/>
  <c r="O25" i="2"/>
  <c r="P25" i="2" s="1"/>
  <c r="Q25" i="2" s="1"/>
  <c r="R25" i="2" s="1"/>
  <c r="D217" i="2" l="1"/>
  <c r="P212" i="2"/>
  <c r="Q214" i="2"/>
  <c r="N195" i="2"/>
  <c r="P195" i="2"/>
  <c r="R195" i="2"/>
  <c r="O195" i="2"/>
  <c r="Q195" i="2"/>
  <c r="P61" i="2"/>
  <c r="P62" i="2" s="1"/>
  <c r="Q60" i="2" s="1"/>
  <c r="U32" i="2"/>
  <c r="M34" i="2"/>
  <c r="E173" i="2"/>
  <c r="E172" i="2"/>
  <c r="P20" i="2"/>
  <c r="G68" i="2"/>
  <c r="P21" i="2"/>
  <c r="O23" i="2"/>
  <c r="O43" i="2"/>
  <c r="O44" i="2"/>
  <c r="O45" i="2"/>
  <c r="O57" i="2"/>
  <c r="N24" i="2"/>
  <c r="N26" i="2"/>
  <c r="N22" i="2"/>
  <c r="H67" i="2"/>
  <c r="N54" i="2"/>
  <c r="U30" i="2"/>
  <c r="N46" i="2"/>
  <c r="R214" i="2" l="1"/>
  <c r="Q212" i="2"/>
  <c r="D218" i="2"/>
  <c r="Q61" i="2"/>
  <c r="Q62" i="2" s="1"/>
  <c r="R60" i="2" s="1"/>
  <c r="U34" i="2"/>
  <c r="M36" i="2"/>
  <c r="U36" i="2" s="1"/>
  <c r="M87" i="2"/>
  <c r="M89" i="2" s="1"/>
  <c r="M91" i="2" s="1"/>
  <c r="M79" i="2"/>
  <c r="E182" i="2"/>
  <c r="F160" i="2"/>
  <c r="F33" i="2" s="1"/>
  <c r="Q20" i="2"/>
  <c r="G69" i="2"/>
  <c r="Q21" i="2"/>
  <c r="P23" i="2"/>
  <c r="P43" i="2"/>
  <c r="P44" i="2"/>
  <c r="P45" i="2"/>
  <c r="P57" i="2"/>
  <c r="O24" i="2"/>
  <c r="O26" i="2"/>
  <c r="O22" i="2"/>
  <c r="O54" i="2"/>
  <c r="O127" i="2" s="1"/>
  <c r="H68" i="2"/>
  <c r="N27" i="2"/>
  <c r="N29" i="2"/>
  <c r="N67" i="2"/>
  <c r="N127" i="2"/>
  <c r="N47" i="2"/>
  <c r="N48" i="2"/>
  <c r="N126" i="2" s="1"/>
  <c r="O46" i="2"/>
  <c r="O48" i="2" s="1"/>
  <c r="O126" i="2" s="1"/>
  <c r="R212" i="2" l="1"/>
  <c r="D219" i="2"/>
  <c r="R61" i="2"/>
  <c r="R62" i="2" s="1"/>
  <c r="N86" i="2"/>
  <c r="N88" i="2"/>
  <c r="M81" i="2"/>
  <c r="M113" i="2"/>
  <c r="E184" i="2"/>
  <c r="F182" i="2" s="1"/>
  <c r="R20" i="2"/>
  <c r="G70" i="2"/>
  <c r="R21" i="2"/>
  <c r="Q23" i="2"/>
  <c r="Q43" i="2"/>
  <c r="Q44" i="2"/>
  <c r="Q45" i="2"/>
  <c r="Q57" i="2"/>
  <c r="P24" i="2"/>
  <c r="P26" i="2"/>
  <c r="P22" i="2"/>
  <c r="H69" i="2"/>
  <c r="P54" i="2"/>
  <c r="P127" i="2" s="1"/>
  <c r="O27" i="2"/>
  <c r="O29" i="2"/>
  <c r="O68" i="2"/>
  <c r="N30" i="2"/>
  <c r="N124" i="2"/>
  <c r="N196" i="2"/>
  <c r="N197" i="2" s="1"/>
  <c r="O47" i="2"/>
  <c r="P46" i="2"/>
  <c r="P48" i="2" s="1"/>
  <c r="P126" i="2" s="1"/>
  <c r="N72" i="2"/>
  <c r="N55" i="2" s="1"/>
  <c r="O67" i="2"/>
  <c r="N89" i="2" l="1"/>
  <c r="N93" i="2" s="1"/>
  <c r="M115" i="2"/>
  <c r="M117" i="2" s="1"/>
  <c r="N78" i="2"/>
  <c r="N80" i="2" s="1"/>
  <c r="N113" i="2" s="1"/>
  <c r="N131" i="2" s="1"/>
  <c r="F183" i="2"/>
  <c r="F181" i="2"/>
  <c r="E177" i="2"/>
  <c r="F184" i="2"/>
  <c r="F180" i="2"/>
  <c r="V25" i="2"/>
  <c r="V28" i="2"/>
  <c r="G71" i="2"/>
  <c r="V21" i="2"/>
  <c r="R23" i="2"/>
  <c r="R43" i="2"/>
  <c r="R44" i="2"/>
  <c r="R45" i="2"/>
  <c r="R57" i="2"/>
  <c r="Q24" i="2"/>
  <c r="Q26" i="2"/>
  <c r="Q22" i="2"/>
  <c r="Q54" i="2"/>
  <c r="Q127" i="2" s="1"/>
  <c r="H70" i="2"/>
  <c r="P27" i="2"/>
  <c r="P29" i="2"/>
  <c r="P69" i="2"/>
  <c r="Q69" i="2"/>
  <c r="O30" i="2"/>
  <c r="O124" i="2"/>
  <c r="O196" i="2"/>
  <c r="O197" i="2" s="1"/>
  <c r="N201" i="2"/>
  <c r="P47" i="2"/>
  <c r="N56" i="2"/>
  <c r="O53" i="2" s="1"/>
  <c r="N31" i="2"/>
  <c r="N32" i="2" s="1"/>
  <c r="P67" i="2"/>
  <c r="Q67" i="2" s="1"/>
  <c r="O72" i="2"/>
  <c r="O55" i="2" s="1"/>
  <c r="O31" i="2" s="1"/>
  <c r="O32" i="2" s="1"/>
  <c r="Q46" i="2"/>
  <c r="Q48" i="2" s="1"/>
  <c r="Q126" i="2" s="1"/>
  <c r="P68" i="2"/>
  <c r="Q68" i="2" s="1"/>
  <c r="R68" i="2" s="1"/>
  <c r="O56" i="2" l="1"/>
  <c r="P53" i="2" s="1"/>
  <c r="R69" i="2"/>
  <c r="N81" i="2"/>
  <c r="N83" i="2" s="1"/>
  <c r="N116" i="2" s="1"/>
  <c r="N112" i="2"/>
  <c r="F172" i="2"/>
  <c r="F173" i="2"/>
  <c r="F175" i="2"/>
  <c r="F174" i="2"/>
  <c r="E176" i="2"/>
  <c r="F177" i="2"/>
  <c r="Q227" i="2"/>
  <c r="R227" i="2" s="1"/>
  <c r="V23" i="2"/>
  <c r="R24" i="2"/>
  <c r="V24" i="2" s="1"/>
  <c r="R26" i="2"/>
  <c r="R22" i="2"/>
  <c r="V22" i="2" s="1"/>
  <c r="H71" i="2"/>
  <c r="R71" i="2" s="1"/>
  <c r="R54" i="2"/>
  <c r="R127" i="2" s="1"/>
  <c r="Q27" i="2"/>
  <c r="Q29" i="2"/>
  <c r="Q70" i="2"/>
  <c r="P30" i="2"/>
  <c r="P196" i="2"/>
  <c r="P197" i="2" s="1"/>
  <c r="P124" i="2"/>
  <c r="O201" i="2"/>
  <c r="R67" i="2"/>
  <c r="P72" i="2"/>
  <c r="P55" i="2" s="1"/>
  <c r="Q47" i="2"/>
  <c r="R46" i="2"/>
  <c r="Q72" i="2" l="1"/>
  <c r="Q55" i="2" s="1"/>
  <c r="Q31" i="2" s="1"/>
  <c r="Q32" i="2" s="1"/>
  <c r="R70" i="2"/>
  <c r="R72" i="2" s="1"/>
  <c r="R55" i="2" s="1"/>
  <c r="R31" i="2" s="1"/>
  <c r="N33" i="2"/>
  <c r="N34" i="2" s="1"/>
  <c r="N130" i="2"/>
  <c r="O78" i="2"/>
  <c r="M216" i="2"/>
  <c r="M218" i="2"/>
  <c r="F176" i="2"/>
  <c r="E188" i="2"/>
  <c r="E187" i="2" s="1"/>
  <c r="M215" i="2"/>
  <c r="M217" i="2"/>
  <c r="M219" i="2"/>
  <c r="V26" i="2"/>
  <c r="R27" i="2"/>
  <c r="V27" i="2" s="1"/>
  <c r="R29" i="2"/>
  <c r="Q30" i="2"/>
  <c r="Q124" i="2"/>
  <c r="Q196" i="2"/>
  <c r="Q197" i="2" s="1"/>
  <c r="P201" i="2"/>
  <c r="P56" i="2"/>
  <c r="Q53" i="2" s="1"/>
  <c r="P31" i="2"/>
  <c r="P32" i="2" s="1"/>
  <c r="R47" i="2"/>
  <c r="R48" i="2"/>
  <c r="R126" i="2" s="1"/>
  <c r="Q56" i="2" l="1"/>
  <c r="R53" i="2" s="1"/>
  <c r="R56" i="2" s="1"/>
  <c r="E189" i="2"/>
  <c r="N35" i="2"/>
  <c r="O80" i="2"/>
  <c r="O81" i="2" s="1"/>
  <c r="O83" i="2" s="1"/>
  <c r="M221" i="2"/>
  <c r="V29" i="2"/>
  <c r="R30" i="2"/>
  <c r="V30" i="2" s="1"/>
  <c r="R124" i="2"/>
  <c r="R196" i="2"/>
  <c r="R197" i="2" s="1"/>
  <c r="R32" i="2"/>
  <c r="Q201" i="2"/>
  <c r="Q232" i="2"/>
  <c r="R232" i="2" s="1"/>
  <c r="V31" i="2"/>
  <c r="F188" i="2" l="1"/>
  <c r="F187" i="2"/>
  <c r="P78" i="2"/>
  <c r="R201" i="2"/>
  <c r="V32" i="2"/>
  <c r="N125" i="2"/>
  <c r="N128" i="2" s="1"/>
  <c r="N132" i="2" s="1"/>
  <c r="N36" i="2"/>
  <c r="F189" i="2" l="1"/>
  <c r="Q228" i="2" s="1"/>
  <c r="R228" i="2" s="1"/>
  <c r="Q219" i="2"/>
  <c r="Q221" i="2" s="1"/>
  <c r="O219" i="2"/>
  <c r="O221" i="2" s="1"/>
  <c r="P218" i="2"/>
  <c r="N218" i="2"/>
  <c r="P219" i="2"/>
  <c r="P221" i="2" s="1"/>
  <c r="N219" i="2"/>
  <c r="N221" i="2" s="1"/>
  <c r="O218" i="2"/>
  <c r="N217" i="2"/>
  <c r="O217" i="2"/>
  <c r="N216" i="2"/>
  <c r="P80" i="2"/>
  <c r="P81" i="2" s="1"/>
  <c r="P83" i="2" s="1"/>
  <c r="N133" i="2"/>
  <c r="Q78" i="2" l="1"/>
  <c r="N97" i="2"/>
  <c r="Q80" i="2" l="1"/>
  <c r="Q81" i="2" s="1"/>
  <c r="Q83" i="2" s="1"/>
  <c r="N98" i="2"/>
  <c r="N134" i="2"/>
  <c r="R78" i="2" l="1"/>
  <c r="O96" i="2"/>
  <c r="N99" i="2"/>
  <c r="N90" i="2"/>
  <c r="R80" i="2" l="1"/>
  <c r="R81" i="2" s="1"/>
  <c r="R83" i="2" s="1"/>
  <c r="O100" i="2"/>
  <c r="N135" i="2"/>
  <c r="N137" i="2" s="1"/>
  <c r="N140" i="2" s="1"/>
  <c r="N114" i="2"/>
  <c r="N91" i="2"/>
  <c r="T80" i="2" l="1"/>
  <c r="N115" i="2"/>
  <c r="O86" i="2"/>
  <c r="N199" i="2"/>
  <c r="O139" i="2"/>
  <c r="N198" i="2" l="1"/>
  <c r="N202" i="2" s="1"/>
  <c r="N117" i="2"/>
  <c r="O112" i="2"/>
  <c r="O88" i="2"/>
  <c r="O113" i="2" l="1"/>
  <c r="O131" i="2" s="1"/>
  <c r="O89" i="2"/>
  <c r="O93" i="2" s="1"/>
  <c r="O116" i="2" s="1"/>
  <c r="N205" i="2"/>
  <c r="N204" i="2"/>
  <c r="N215" i="2"/>
  <c r="O130" i="2" l="1"/>
  <c r="O33" i="2"/>
  <c r="O34" i="2" s="1"/>
  <c r="O35" i="2" s="1"/>
  <c r="V215" i="2"/>
  <c r="N210" i="2" s="1"/>
  <c r="U215" i="2"/>
  <c r="N209" i="2" s="1"/>
  <c r="O125" i="2" l="1"/>
  <c r="O128" i="2" s="1"/>
  <c r="O132" i="2" s="1"/>
  <c r="O133" i="2" s="1"/>
  <c r="O36" i="2"/>
  <c r="O97" i="2" l="1"/>
  <c r="O98" i="2" l="1"/>
  <c r="O134" i="2"/>
  <c r="P96" i="2" l="1"/>
  <c r="O99" i="2"/>
  <c r="O90" i="2"/>
  <c r="P100" i="2" l="1"/>
  <c r="O135" i="2"/>
  <c r="O137" i="2" s="1"/>
  <c r="O140" i="2" s="1"/>
  <c r="O114" i="2"/>
  <c r="O91" i="2"/>
  <c r="O199" i="2" l="1"/>
  <c r="P139" i="2"/>
  <c r="P86" i="2"/>
  <c r="O115" i="2"/>
  <c r="P112" i="2" l="1"/>
  <c r="P88" i="2"/>
  <c r="O198" i="2"/>
  <c r="O202" i="2" s="1"/>
  <c r="O117" i="2"/>
  <c r="O205" i="2" l="1"/>
  <c r="O204" i="2"/>
  <c r="O216" i="2"/>
  <c r="P113" i="2"/>
  <c r="P131" i="2" s="1"/>
  <c r="P89" i="2"/>
  <c r="U216" i="2" l="1"/>
  <c r="O209" i="2" s="1"/>
  <c r="V216" i="2"/>
  <c r="O210" i="2" s="1"/>
  <c r="P93" i="2"/>
  <c r="P116" i="2" s="1"/>
  <c r="P33" i="2" l="1"/>
  <c r="P34" i="2" s="1"/>
  <c r="P130" i="2"/>
  <c r="P35" i="2" l="1"/>
  <c r="P125" i="2" l="1"/>
  <c r="P128" i="2" s="1"/>
  <c r="P132" i="2" s="1"/>
  <c r="P133" i="2" s="1"/>
  <c r="P36" i="2"/>
  <c r="P97" i="2" l="1"/>
  <c r="P98" i="2" l="1"/>
  <c r="P134" i="2"/>
  <c r="Q96" i="2" l="1"/>
  <c r="P99" i="2"/>
  <c r="P90" i="2"/>
  <c r="Q100" i="2" l="1"/>
  <c r="P135" i="2"/>
  <c r="P137" i="2" s="1"/>
  <c r="P140" i="2" s="1"/>
  <c r="P114" i="2"/>
  <c r="P91" i="2"/>
  <c r="P115" i="2" l="1"/>
  <c r="Q86" i="2"/>
  <c r="P199" i="2"/>
  <c r="Q139" i="2"/>
  <c r="P198" i="2" l="1"/>
  <c r="P202" i="2" s="1"/>
  <c r="P117" i="2"/>
  <c r="Q112" i="2"/>
  <c r="Q88" i="2"/>
  <c r="P205" i="2" l="1"/>
  <c r="P204" i="2"/>
  <c r="P217" i="2"/>
  <c r="Q113" i="2"/>
  <c r="Q131" i="2" s="1"/>
  <c r="Q89" i="2"/>
  <c r="U217" i="2" l="1"/>
  <c r="P209" i="2" s="1"/>
  <c r="V217" i="2"/>
  <c r="P210" i="2" s="1"/>
  <c r="Q93" i="2"/>
  <c r="Q116" i="2" s="1"/>
  <c r="Q33" i="2" l="1"/>
  <c r="Q34" i="2" s="1"/>
  <c r="Q130" i="2"/>
  <c r="Q35" i="2" l="1"/>
  <c r="Q125" i="2" l="1"/>
  <c r="Q128" i="2" s="1"/>
  <c r="Q132" i="2" s="1"/>
  <c r="Q36" i="2"/>
  <c r="Q133" i="2" l="1"/>
  <c r="Q97" i="2" l="1"/>
  <c r="Q98" i="2" l="1"/>
  <c r="Q134" i="2"/>
  <c r="R96" i="2" l="1"/>
  <c r="Q99" i="2"/>
  <c r="Q90" i="2"/>
  <c r="R100" i="2" l="1"/>
  <c r="Q135" i="2"/>
  <c r="Q137" i="2" s="1"/>
  <c r="Q140" i="2" s="1"/>
  <c r="Q114" i="2"/>
  <c r="Q91" i="2"/>
  <c r="Q199" i="2" l="1"/>
  <c r="R139" i="2"/>
  <c r="Q115" i="2"/>
  <c r="R86" i="2"/>
  <c r="Q198" i="2" l="1"/>
  <c r="Q202" i="2" s="1"/>
  <c r="Q117" i="2"/>
  <c r="R112" i="2"/>
  <c r="R88" i="2"/>
  <c r="R113" i="2" l="1"/>
  <c r="R131" i="2" s="1"/>
  <c r="R89" i="2"/>
  <c r="R93" i="2" s="1"/>
  <c r="R116" i="2" s="1"/>
  <c r="Q204" i="2"/>
  <c r="Q205" i="2"/>
  <c r="Q218" i="2"/>
  <c r="R130" i="2" l="1"/>
  <c r="R33" i="2"/>
  <c r="R34" i="2" s="1"/>
  <c r="V218" i="2"/>
  <c r="Q210" i="2" s="1"/>
  <c r="U218" i="2"/>
  <c r="Q209" i="2" s="1"/>
  <c r="V34" i="2" l="1"/>
  <c r="R35" i="2"/>
  <c r="R36" i="2" l="1"/>
  <c r="V36" i="2" s="1"/>
  <c r="V35" i="2"/>
  <c r="R125" i="2"/>
  <c r="R128" i="2" s="1"/>
  <c r="R132" i="2" s="1"/>
  <c r="R133" i="2" s="1"/>
  <c r="R97" i="2" l="1"/>
  <c r="R98" i="2" l="1"/>
  <c r="R99" i="2" s="1"/>
  <c r="R134" i="2"/>
  <c r="R90" i="2" l="1"/>
  <c r="R135" i="2" l="1"/>
  <c r="R137" i="2" s="1"/>
  <c r="R140" i="2" s="1"/>
  <c r="R114" i="2"/>
  <c r="R91" i="2"/>
  <c r="R115" i="2" l="1"/>
  <c r="Q230" i="2"/>
  <c r="R230" i="2" s="1"/>
  <c r="Q229" i="2"/>
  <c r="R229" i="2" s="1"/>
  <c r="R199" i="2"/>
  <c r="R198" i="2" l="1"/>
  <c r="R202" i="2" s="1"/>
  <c r="R117" i="2"/>
  <c r="L230" i="2" l="1"/>
  <c r="G230" i="2" s="1"/>
  <c r="J230" i="2"/>
  <c r="E230" i="2" s="1"/>
  <c r="R205" i="2"/>
  <c r="K230" i="2"/>
  <c r="F230" i="2" s="1"/>
  <c r="L229" i="2"/>
  <c r="G229" i="2" s="1"/>
  <c r="K229" i="2"/>
  <c r="F229" i="2" s="1"/>
  <c r="J229" i="2"/>
  <c r="E229" i="2" s="1"/>
  <c r="L228" i="2"/>
  <c r="G228" i="2" s="1"/>
  <c r="K228" i="2"/>
  <c r="F228" i="2" s="1"/>
  <c r="J228" i="2"/>
  <c r="E228" i="2" s="1"/>
  <c r="R204" i="2"/>
  <c r="R219" i="2"/>
  <c r="U219" i="2" l="1"/>
  <c r="V219" i="2"/>
  <c r="R221" i="2"/>
  <c r="R209" i="2" l="1"/>
  <c r="F209" i="2"/>
  <c r="U221" i="2" s="1"/>
  <c r="R210" i="2"/>
  <c r="F210" i="2"/>
  <c r="V221" i="2" s="1"/>
</calcChain>
</file>

<file path=xl/sharedStrings.xml><?xml version="1.0" encoding="utf-8"?>
<sst xmlns="http://schemas.openxmlformats.org/spreadsheetml/2006/main" count="286" uniqueCount="207">
  <si>
    <t>Project Galicia — Inditex (ITX.MC)</t>
  </si>
  <si>
    <t xml:space="preserve">&gt; </t>
  </si>
  <si>
    <t>LBO Model (Free-Float Take-Private &amp; Family Rollover)</t>
  </si>
  <si>
    <t>Private &amp; Confidential</t>
  </si>
  <si>
    <t>&gt;</t>
  </si>
  <si>
    <t>Operating model</t>
  </si>
  <si>
    <t>Drivers</t>
  </si>
  <si>
    <t>1</t>
  </si>
  <si>
    <t>2</t>
  </si>
  <si>
    <t>3</t>
  </si>
  <si>
    <t>Active Case:</t>
  </si>
  <si>
    <t>31-Jan</t>
  </si>
  <si>
    <t>Operating Driver / Scenario Presets</t>
  </si>
  <si>
    <t>Base Case</t>
  </si>
  <si>
    <t>Bull Case</t>
  </si>
  <si>
    <t>Bear Case</t>
  </si>
  <si>
    <t>Revenue growth (% YoY)</t>
  </si>
  <si>
    <t>Gross margin (% of revenues)</t>
  </si>
  <si>
    <t>OpEx growth (% YoY)</t>
  </si>
  <si>
    <t>Fixed lease cash outflow growth (%)</t>
  </si>
  <si>
    <t>Capex (% of revenues)</t>
  </si>
  <si>
    <t>Inventory (% of revenues)</t>
  </si>
  <si>
    <t>Receivables (% of revenues)</t>
  </si>
  <si>
    <t>Payables (% of revenues, negative)</t>
  </si>
  <si>
    <t>P&amp;L</t>
  </si>
  <si>
    <t>CAGR
22A-25A</t>
  </si>
  <si>
    <t>CAGR
25A-30E</t>
  </si>
  <si>
    <t>€m</t>
  </si>
  <si>
    <t>Revenues</t>
  </si>
  <si>
    <t>COGS</t>
  </si>
  <si>
    <t>Gross margin</t>
  </si>
  <si>
    <t>% margin</t>
  </si>
  <si>
    <t>Opex (incl. variable turnover rent)</t>
  </si>
  <si>
    <t>Reported EBITDA (Post-IFRS 16)</t>
  </si>
  <si>
    <t>% margin (Post-IFRS 16)</t>
  </si>
  <si>
    <t>Less: Fixed cash lease outflow (IFRS 16 adj.)</t>
  </si>
  <si>
    <t>Pre-IFRS 16 Cash EBITDA (LBO Driver)</t>
  </si>
  <si>
    <t>% margin (Pre-IFRS 16)</t>
  </si>
  <si>
    <t>D&amp;A (Owned PP&amp;E &amp; intangibles)</t>
  </si>
  <si>
    <t>Adj. EBIT (Pre-IFRS 16)</t>
  </si>
  <si>
    <t>Interests (LBO debt &amp; RCF fees)</t>
  </si>
  <si>
    <t>EBT</t>
  </si>
  <si>
    <t>Tax</t>
  </si>
  <si>
    <t>Net income</t>
  </si>
  <si>
    <t>BS</t>
  </si>
  <si>
    <t>WK (Operating Working Capital)</t>
  </si>
  <si>
    <t>Inventory</t>
  </si>
  <si>
    <t>Receivables</t>
  </si>
  <si>
    <t>Payables</t>
  </si>
  <si>
    <t>Total WK (EoP balance)</t>
  </si>
  <si>
    <t>WK % of revenues</t>
  </si>
  <si>
    <t>Cash flow from WK (-ΔWK)</t>
  </si>
  <si>
    <t>Capex &amp; D&amp;A (Owned PP&amp;E + Intangibles)</t>
  </si>
  <si>
    <t>BoP Net Fixed Assets</t>
  </si>
  <si>
    <t>Capex</t>
  </si>
  <si>
    <t>D&amp;A</t>
  </si>
  <si>
    <t>EoP Net Fixed Assets</t>
  </si>
  <si>
    <t>Capex (Ordinary + Logistics)</t>
  </si>
  <si>
    <t>Existing fixed assets D&amp;A</t>
  </si>
  <si>
    <t>BoP existing net assets</t>
  </si>
  <si>
    <t>D&amp;A of existing assets</t>
  </si>
  <si>
    <t>EoP existing net assets</t>
  </si>
  <si>
    <t>Asset lifetime (years)</t>
  </si>
  <si>
    <t>First period D&amp;A impact</t>
  </si>
  <si>
    <t>Vintage</t>
  </si>
  <si>
    <t>Capex (€m)</t>
  </si>
  <si>
    <t>Total new capex D&amp;A</t>
  </si>
  <si>
    <t>Debt Schedule (Senior TLA, Senior TLB &amp; RCF with Cash Sweep)</t>
  </si>
  <si>
    <t>Senior Term Loan A (TLA — Amortising)</t>
  </si>
  <si>
    <t>BoP TLA</t>
  </si>
  <si>
    <t>Initial draw / increase</t>
  </si>
  <si>
    <t>Scheduled repayment</t>
  </si>
  <si>
    <t>EoP TLA</t>
  </si>
  <si>
    <t>TLA scheduled amortisation %</t>
  </si>
  <si>
    <t>TLA cash interest</t>
  </si>
  <si>
    <t>Senior Term Loan B (TLB — 1% Amort + 50% Cash Sweep)</t>
  </si>
  <si>
    <t>BoP TLB</t>
  </si>
  <si>
    <t>Mandatory amortisation (1.0% p.a.)</t>
  </si>
  <si>
    <t>TLB balance after mandatory amortisation</t>
  </si>
  <si>
    <t>Optional cash sweep repayment (50.0% sweep)</t>
  </si>
  <si>
    <t>EoP TLB</t>
  </si>
  <si>
    <t>TLB mandatory amortisation %</t>
  </si>
  <si>
    <t>TLB cash interest</t>
  </si>
  <si>
    <t>Revolving Credit Facility (RCF — Liquidity Line)</t>
  </si>
  <si>
    <t>BoP RCF drawn</t>
  </si>
  <si>
    <t>RCF draw / (repayment)</t>
  </si>
  <si>
    <t>EoP RCF drawn</t>
  </si>
  <si>
    <t>Undrawn RCF available</t>
  </si>
  <si>
    <t>RCF interest &amp; commitment fee</t>
  </si>
  <si>
    <t>Total LBO Debt Summary</t>
  </si>
  <si>
    <t>BoP total debt</t>
  </si>
  <si>
    <t>Mandatory debt service (TLA + TLB)</t>
  </si>
  <si>
    <t>Optional cash sweep &amp; RCF net change</t>
  </si>
  <si>
    <t>EoP total financial debt</t>
  </si>
  <si>
    <t>Total cash interest &amp; commitment fees</t>
  </si>
  <si>
    <t>Net Debt / Pre-IFRS 16 EBITDA (x)</t>
  </si>
  <si>
    <t>CF</t>
  </si>
  <si>
    <t>Pre-IFRS 16 Cash EBITDA</t>
  </si>
  <si>
    <t>Taxes</t>
  </si>
  <si>
    <t>Wk (Cash flow from working capital)</t>
  </si>
  <si>
    <t>CF for debt service (CFADS)</t>
  </si>
  <si>
    <t>Interests &amp; commitment fees</t>
  </si>
  <si>
    <t>Mandatory debt repayment (TLA + TLB)</t>
  </si>
  <si>
    <t>FCF after mandatory debt service</t>
  </si>
  <si>
    <t>Excess cash before RCF &amp; sweep (above min cash)</t>
  </si>
  <si>
    <t>Optional TLB cash sweep (50.0% sweep)</t>
  </si>
  <si>
    <t>Dividends</t>
  </si>
  <si>
    <t>Total CF (Net change in cash)</t>
  </si>
  <si>
    <t>BoP cash</t>
  </si>
  <si>
    <t>EoP cash</t>
  </si>
  <si>
    <t>LBO</t>
  </si>
  <si>
    <t>LBO Assumptions &amp; Free-Float Take-Private Perimeter</t>
  </si>
  <si>
    <t>EBITDA reference (FY25A Pre-IFRS 16 Cash EBITDA)</t>
  </si>
  <si>
    <t>Implied 100% Offer Enterprise Value (€m)</t>
  </si>
  <si>
    <t>Current share price (€/sh)</t>
  </si>
  <si>
    <t>Implied Entry EV / Pre-IFRS 16 EBITDA</t>
  </si>
  <si>
    <t>Takeover offer premium (%)</t>
  </si>
  <si>
    <t>Implied Entry EV / Reported Post-IFRS 16 EBITDA</t>
  </si>
  <si>
    <t>Offer price per share (€/sh)</t>
  </si>
  <si>
    <t>Exit year (selectable: 2026 to 2030)</t>
  </si>
  <si>
    <t>Total diluted shares outstanding (m)</t>
  </si>
  <si>
    <t>Implied 100% Equity Offer Value (€m)</t>
  </si>
  <si>
    <t>Entry transaction expenses (% of purchase)</t>
  </si>
  <si>
    <t>Ortega family rollover stake (Pontegadea + Rosp)</t>
  </si>
  <si>
    <t>Upfront financing fees (% of drawn debt)</t>
  </si>
  <si>
    <t>Free-float stake acquired in cash (%)</t>
  </si>
  <si>
    <t>Exit transaction expenses (% of exit EV)</t>
  </si>
  <si>
    <t>Free-float cash purchase price (€m)</t>
  </si>
  <si>
    <t>Rollover mode (1=64/36% Share, 2=NoPrem, 3=OfferVal)</t>
  </si>
  <si>
    <t>Minimum cash retained on balance sheet (€m)</t>
  </si>
  <si>
    <t>Existing statutory net cash at FY25A close (€m)</t>
  </si>
  <si>
    <t>Acquisition debt assumptions (TLA / TLB / RCF)</t>
  </si>
  <si>
    <t>Quantum / Input</t>
  </si>
  <si>
    <t>Euribor</t>
  </si>
  <si>
    <t>Spread / Fee</t>
  </si>
  <si>
    <t>Total Senior Debt xEBITDA (TLA + TLB)</t>
  </si>
  <si>
    <t>Blended initial cash interest rate</t>
  </si>
  <si>
    <t>Senior TLA (6y amortising: 10/15/20/25/30%)</t>
  </si>
  <si>
    <t>Senior TLB (7y: 1% p.a. amort + 50% sweep)</t>
  </si>
  <si>
    <t>TLB mandatory amortisation (% p.a.)</t>
  </si>
  <si>
    <t>TLB excess cash sweep (%)</t>
  </si>
  <si>
    <t>RCF commitment limit (€m, undrawn at close)</t>
  </si>
  <si>
    <t>RCF drawn interest rate (Euribor + 2.50%)</t>
  </si>
  <si>
    <t>RCF undrawn commitment fee (% p.a.)</t>
  </si>
  <si>
    <t>Sweep interest circularity switch (0=No circ, 1=Avg)</t>
  </si>
  <si>
    <t>S&amp;U (Free-Float Cash Buyout &amp; Newco Ownership)</t>
  </si>
  <si>
    <t>Cash Sources</t>
  </si>
  <si>
    <t>%</t>
  </si>
  <si>
    <t>Senior TLA (1.5x EBITDA)</t>
  </si>
  <si>
    <t>Senior TLB (2.5x EBITDA)</t>
  </si>
  <si>
    <t>RCF drawn at close</t>
  </si>
  <si>
    <t>Excess balance sheet cash (Net Cash - Min)</t>
  </si>
  <si>
    <t>Sponsor cash equity cheque (Plug)</t>
  </si>
  <si>
    <t>Total cash sources</t>
  </si>
  <si>
    <t>Cash Uses</t>
  </si>
  <si>
    <t>Free-float purchase price (35.65% @ Offer)</t>
  </si>
  <si>
    <t>Minimum cash funded (0 = retained from existing)</t>
  </si>
  <si>
    <t>Transaction advisory expenses (% purchase)</t>
  </si>
  <si>
    <t>Total cash uses</t>
  </si>
  <si>
    <t>% Share</t>
  </si>
  <si>
    <t>Existing shareholders (Ortega family rollover)</t>
  </si>
  <si>
    <t>Sponsor (Cash equity cheque)</t>
  </si>
  <si>
    <t>Total Newco common equity</t>
  </si>
  <si>
    <t>Exit valuation analysis</t>
  </si>
  <si>
    <t>EBITDA Exit Multiple (Pre-IFRS 16)</t>
  </si>
  <si>
    <t>Enterprise value (EV)</t>
  </si>
  <si>
    <t>Financial debt (TLA + TLB + RCF)</t>
  </si>
  <si>
    <t>Cash</t>
  </si>
  <si>
    <t>Exit transaction expenses</t>
  </si>
  <si>
    <t>Equity value (100% Newco)</t>
  </si>
  <si>
    <t>Existing shareholders (Ortega family proceeds)</t>
  </si>
  <si>
    <t>Sponsor (PE proceeds)</t>
  </si>
  <si>
    <t>Returns Analysis (Sponsor)</t>
  </si>
  <si>
    <t>Internal Rate of Return (IRR) @ Selected Exit</t>
  </si>
  <si>
    <t>Money Multiple (MoM / CoC) @ Selected Exit</t>
  </si>
  <si>
    <t>IRR and CoC cash flow matrix</t>
  </si>
  <si>
    <t>Exit year</t>
  </si>
  <si>
    <t>IRR</t>
  </si>
  <si>
    <t>CoC (MoM)</t>
  </si>
  <si>
    <t>Sensitivity Analysis (3x3) &amp; Automated Integrity Checks</t>
  </si>
  <si>
    <t>Sponsor 2030E IRR (MoM) — Premium vs. Initial Leverage</t>
  </si>
  <si>
    <t>Sponsor 2030E Money Multiple (MoM)</t>
  </si>
  <si>
    <t>Automated Model Integrity Checks</t>
  </si>
  <si>
    <t>Diff / Value</t>
  </si>
  <si>
    <t>Status</t>
  </si>
  <si>
    <t>Takeover Premium \ Total Debt xEBITDA</t>
  </si>
  <si>
    <t>3.0x Debt</t>
  </si>
  <si>
    <t>4.0x Debt</t>
  </si>
  <si>
    <t>5.0x Debt</t>
  </si>
  <si>
    <t>1. Sources &amp; Uses balance check</t>
  </si>
  <si>
    <t>2. Newco equity ownership sums to 100%</t>
  </si>
  <si>
    <t>3. Minimum cash floor respected (all yrs)</t>
  </si>
  <si>
    <t>4. Non-negative debt balances (all yrs)</t>
  </si>
  <si>
    <t>5. TLA scheduled repayment sums to 100%</t>
  </si>
  <si>
    <t>6. P&amp;L D&amp;A reconciled to Capex schedule</t>
  </si>
  <si>
    <t>LBO Model — Instructions &amp; Architecture Guide</t>
  </si>
  <si>
    <t>Step</t>
  </si>
  <si>
    <t>Reference Block (Linked)</t>
  </si>
  <si>
    <t>Explanation &amp; Modeling Guidelines (Blue Font = User Input)</t>
  </si>
  <si>
    <t>Scenario &amp; Operating Drivers (Rows 7-17): Select Active Case in cell F9 (1 = Base, 2 = Bull, 3 = Bear) and customize scenario presets in E10:G17 (blue cells). Historical FY22A-FY25A figures are audited from Inditex Consolidated Annual Reports.</t>
  </si>
  <si>
    <t>Operating P&amp;L &amp; Pre-IFRS 16 Cash EBITDA Bridge (Rows 19-36): Projects Revenues, Gross Margin, and OpEx across FY26E-FY30E. Reconciles Reported Post-IFRS 16 EBITDA to Pre-IFRS 16 Cash EBITDA by deducting Fixed Cash Lease Outflows (Note 16 / CF Statement: €1,834m in FY25A; variable turnover rent of €670m is already inside OpEx).</t>
  </si>
  <si>
    <t>Operating Working Capital Schedule (Rows 42-48): Models Inventory, Receivables, and Payables as % of Revenues. Inditex operates with structural negative working capital (-€4,172m in FY25A, -10.5% of sales), so top-line growth generates positive cash inflows (-ΔWK).</t>
  </si>
  <si>
    <t>Capex &amp; D&amp;A Schedule (Rows 51-72): Tracks Owned PP&amp;E and Intangible Assets (€12,778m at FY25A close, excluding IFRS 16 RoU assets). Depreciates existing net assets over E64 (10 yrs) and each new Capex vintage with half-year convention (E65 = 50%), linking total D&amp;A directly to P&amp;L Row 31.</t>
  </si>
  <si>
    <t>Multi-Tranche Debt &amp; Cash Sweep Schedule (Rows 75-117): Models Senior TLA (1.5x EBITDA, E+2.75%, amortising 10/15/20/25/30%), Senior TLB (2.5x EBITDA, E+4.00%, 1% p.a. mandatory amortisation + 50% excess-cash sweep), and €3,000m RCF (auto-drawn if cash &lt; minimum cash and repaid first).</t>
  </si>
  <si>
    <t>Free-Float Take-Private Perimeter &amp; Sources &amp; Uses (Rows 145-189): Acquires only the 35.65% free float at Offer Price = €55.42 * (1 + Premium %). The Ortega family (64.35%: Pontegadea 59.29% + Rosp Corunna 5.05%) rolls over 100% into Newco at the offer price. Excess cash above Minimum Cash (€3,000m) is deployed as a closing source.</t>
  </si>
  <si>
    <t>Exit Valuation, Returns (IRR / MoM) &amp; Integrity Checks (Rows 192-232): Evaluates exit EV, net debt, and Sponsor/Family proceeds across FY26E-FY30E. Changing Exit Year (K149) dynamically updates headline IRR (F209) and MoM (F210). Includes a 3x3 sensitivity table (Premium x Leverage) and 6 automated integrity checks.</t>
  </si>
  <si>
    <t xml:space="preserve">Active Scenario Selector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</si>
</sst>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&quot;- &quot;"/>
    <numFmt numFmtId="165" formatCode="0&quot;A&quot;"/>
    <numFmt numFmtId="166" formatCode="0&quot;E&quot;"/>
    <numFmt numFmtId="167" formatCode="#,##0.0%_);\(#,##0.0%\);&quot;- &quot;"/>
    <numFmt numFmtId="168" formatCode="0.0"/>
    <numFmt numFmtId="169" formatCode="#,##0.0&quot;x&quot;_);\(#,##0.0&quot;x&quot;\);&quot;- &quot;"/>
    <numFmt numFmtId="170" formatCode="#,##0.00_);\(#,##0.00\);&quot;- &quot;"/>
  </numFmts>
  <fonts count="14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F2F2F2"/>
      </patternFill>
    </fill>
    <fill>
      <patternFill patternType="solid">
        <fgColor rgb="FFF4F7FE"/>
      </patternFill>
    </fill>
    <fill>
      <patternFill patternType="solid">
        <fgColor rgb="FFFFF2CC"/>
      </patternFill>
    </fill>
    <fill>
      <patternFill patternType="solid">
        <fgColor rgb="FF99AAC3"/>
      </patternFill>
    </fill>
    <fill>
      <patternFill patternType="solid">
        <fgColor rgb="FFE6F4EA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6" fillId="0" borderId="0" xfId="0" applyFont="1"/>
    <xf numFmtId="0" fontId="7" fillId="4" borderId="0" xfId="0" applyFont="1" applyFill="1"/>
    <xf numFmtId="0" fontId="7" fillId="5" borderId="0" xfId="0" applyFont="1" applyFill="1"/>
    <xf numFmtId="0" fontId="7" fillId="5" borderId="0" xfId="0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0" fontId="7" fillId="6" borderId="1" xfId="0" applyFont="1" applyFill="1" applyBorder="1"/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0" xfId="0" applyFont="1"/>
    <xf numFmtId="167" fontId="11" fillId="0" borderId="0" xfId="0" applyNumberFormat="1" applyFont="1" applyAlignment="1">
      <alignment horizontal="right" vertical="center"/>
    </xf>
    <xf numFmtId="167" fontId="7" fillId="6" borderId="0" xfId="0" applyNumberFormat="1" applyFont="1" applyFill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64" fontId="7" fillId="6" borderId="1" xfId="0" applyNumberFormat="1" applyFont="1" applyFill="1" applyBorder="1"/>
    <xf numFmtId="167" fontId="7" fillId="6" borderId="1" xfId="0" applyNumberFormat="1" applyFont="1" applyFill="1" applyBorder="1"/>
    <xf numFmtId="164" fontId="12" fillId="0" borderId="0" xfId="0" applyNumberFormat="1" applyFont="1"/>
    <xf numFmtId="167" fontId="10" fillId="0" borderId="0" xfId="0" applyNumberFormat="1" applyFont="1"/>
    <xf numFmtId="0" fontId="8" fillId="0" borderId="0" xfId="0" applyFont="1"/>
    <xf numFmtId="167" fontId="8" fillId="0" borderId="0" xfId="0" applyNumberFormat="1" applyFont="1"/>
    <xf numFmtId="164" fontId="11" fillId="0" borderId="0" xfId="0" applyNumberFormat="1" applyFont="1"/>
    <xf numFmtId="164" fontId="10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67" fontId="7" fillId="6" borderId="3" xfId="0" applyNumberFormat="1" applyFont="1" applyFill="1" applyBorder="1"/>
    <xf numFmtId="167" fontId="12" fillId="0" borderId="0" xfId="0" applyNumberFormat="1" applyFont="1"/>
    <xf numFmtId="0" fontId="7" fillId="0" borderId="0" xfId="0" applyFont="1"/>
    <xf numFmtId="164" fontId="7" fillId="0" borderId="0" xfId="0" applyNumberFormat="1" applyFont="1"/>
    <xf numFmtId="167" fontId="11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0" fontId="7" fillId="6" borderId="0" xfId="0" applyFont="1" applyFill="1"/>
    <xf numFmtId="164" fontId="9" fillId="6" borderId="0" xfId="0" applyNumberFormat="1" applyFont="1" applyFill="1"/>
    <xf numFmtId="164" fontId="7" fillId="6" borderId="0" xfId="0" applyNumberFormat="1" applyFont="1" applyFill="1"/>
    <xf numFmtId="168" fontId="11" fillId="0" borderId="0" xfId="0" applyNumberFormat="1" applyFont="1"/>
    <xf numFmtId="0" fontId="7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/>
    </xf>
    <xf numFmtId="164" fontId="8" fillId="0" borderId="0" xfId="0" applyNumberFormat="1" applyFont="1"/>
    <xf numFmtId="167" fontId="11" fillId="7" borderId="0" xfId="0" applyNumberFormat="1" applyFont="1" applyFill="1"/>
    <xf numFmtId="167" fontId="10" fillId="7" borderId="0" xfId="0" applyNumberFormat="1" applyFont="1" applyFill="1"/>
    <xf numFmtId="167" fontId="12" fillId="7" borderId="0" xfId="0" applyNumberFormat="1" applyFont="1" applyFill="1"/>
    <xf numFmtId="169" fontId="8" fillId="0" borderId="0" xfId="0" applyNumberFormat="1" applyFont="1"/>
    <xf numFmtId="164" fontId="7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170" fontId="7" fillId="0" borderId="0" xfId="0" applyNumberFormat="1" applyFont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169" fontId="7" fillId="0" borderId="0" xfId="0" applyNumberFormat="1" applyFont="1"/>
    <xf numFmtId="10" fontId="7" fillId="0" borderId="0" xfId="0" applyNumberFormat="1" applyFont="1"/>
    <xf numFmtId="10" fontId="11" fillId="0" borderId="0" xfId="0" applyNumberFormat="1" applyFont="1"/>
    <xf numFmtId="169" fontId="11" fillId="0" borderId="0" xfId="0" applyNumberFormat="1" applyFont="1"/>
    <xf numFmtId="3" fontId="11" fillId="0" borderId="0" xfId="0" applyNumberFormat="1" applyFont="1"/>
    <xf numFmtId="0" fontId="7" fillId="4" borderId="0" xfId="0" applyFont="1" applyFill="1" applyAlignment="1">
      <alignment horizontal="right" vertical="center"/>
    </xf>
    <xf numFmtId="0" fontId="11" fillId="0" borderId="0" xfId="0" applyFont="1"/>
    <xf numFmtId="167" fontId="7" fillId="0" borderId="0" xfId="0" applyNumberFormat="1" applyFont="1"/>
    <xf numFmtId="10" fontId="7" fillId="6" borderId="3" xfId="0" applyNumberFormat="1" applyFont="1" applyFill="1" applyBorder="1"/>
    <xf numFmtId="169" fontId="10" fillId="0" borderId="0" xfId="0" applyNumberFormat="1" applyFont="1"/>
    <xf numFmtId="0" fontId="7" fillId="8" borderId="0" xfId="0" applyFont="1" applyFill="1"/>
    <xf numFmtId="167" fontId="7" fillId="8" borderId="0" xfId="0" applyNumberFormat="1" applyFont="1" applyFill="1"/>
    <xf numFmtId="169" fontId="7" fillId="8" borderId="0" xfId="0" applyNumberFormat="1" applyFont="1" applyFill="1"/>
    <xf numFmtId="15" fontId="8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right" vertical="center"/>
    </xf>
    <xf numFmtId="166" fontId="7" fillId="0" borderId="0" xfId="0" applyNumberFormat="1" applyFont="1"/>
    <xf numFmtId="169" fontId="7" fillId="6" borderId="3" xfId="0" applyNumberFormat="1" applyFont="1" applyFill="1" applyBorder="1"/>
    <xf numFmtId="0" fontId="7" fillId="4" borderId="0" xfId="0" applyFont="1" applyFill="1" applyAlignment="1">
      <alignment horizontal="center" vertical="center"/>
    </xf>
    <xf numFmtId="169" fontId="9" fillId="4" borderId="0" xfId="0" applyNumberFormat="1" applyFont="1" applyFill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67" fontId="9" fillId="5" borderId="0" xfId="0" applyNumberFormat="1" applyFont="1" applyFill="1" applyAlignment="1">
      <alignment horizontal="right" vertical="center"/>
    </xf>
    <xf numFmtId="167" fontId="10" fillId="0" borderId="2" xfId="0" applyNumberFormat="1" applyFont="1" applyBorder="1"/>
    <xf numFmtId="169" fontId="10" fillId="0" borderId="2" xfId="0" applyNumberFormat="1" applyFont="1" applyBorder="1"/>
    <xf numFmtId="10" fontId="10" fillId="0" borderId="0" xfId="0" applyNumberFormat="1" applyFont="1"/>
    <xf numFmtId="167" fontId="7" fillId="6" borderId="2" xfId="0" applyNumberFormat="1" applyFont="1" applyFill="1" applyBorder="1"/>
    <xf numFmtId="169" fontId="7" fillId="6" borderId="2" xfId="0" applyNumberFormat="1" applyFont="1" applyFill="1" applyBorder="1"/>
    <xf numFmtId="0" fontId="7" fillId="5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Normal 2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esentation%202003%2010/Valuation/01%20Viceroy-Scholar%20Model.xls" TargetMode="External"/><Relationship Id="rId1" Type="http://schemas.openxmlformats.org/officeDocument/2006/relationships/externalLinkPath" Target="/Presentation%202003%2010/Valuation/01%20Viceroy-Scholar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30" customWidth="1"/>
    <col min="5" max="5" width="88" customWidth="1"/>
    <col min="6" max="6" width="16" customWidth="1"/>
  </cols>
  <sheetData>
    <row r="1" spans="1:6" ht="18" customHeight="1" x14ac:dyDescent="0.3">
      <c r="A1" s="2"/>
      <c r="B1" s="3" t="s">
        <v>0</v>
      </c>
      <c r="C1" s="2"/>
      <c r="D1" s="2"/>
      <c r="E1" s="2"/>
      <c r="F1" s="4" t="s">
        <v>3</v>
      </c>
    </row>
    <row r="2" spans="1:6" ht="16.05" customHeight="1" x14ac:dyDescent="0.25">
      <c r="A2" s="2"/>
      <c r="B2" s="5" t="s">
        <v>195</v>
      </c>
      <c r="C2" s="2"/>
      <c r="D2" s="2"/>
      <c r="E2" s="2"/>
      <c r="F2" s="2"/>
    </row>
    <row r="4" spans="1:6" ht="18" customHeight="1" x14ac:dyDescent="0.2">
      <c r="C4" s="6" t="s">
        <v>196</v>
      </c>
      <c r="D4" s="7" t="s">
        <v>197</v>
      </c>
      <c r="E4" s="7" t="s">
        <v>198</v>
      </c>
    </row>
    <row r="5" spans="1:6" ht="28.05" customHeight="1" x14ac:dyDescent="0.2">
      <c r="C5" s="8">
        <v>1</v>
      </c>
      <c r="D5" s="9" t="str">
        <f>+LBO!D9</f>
        <v xml:space="preserve">Active Scenario Selector </v>
      </c>
      <c r="E5" s="10" t="s">
        <v>199</v>
      </c>
    </row>
    <row r="6" spans="1:6" ht="28.05" customHeight="1" x14ac:dyDescent="0.2">
      <c r="C6" s="8">
        <v>2</v>
      </c>
      <c r="D6" s="9" t="str">
        <f>+LBO!D21</f>
        <v>Revenues</v>
      </c>
      <c r="E6" s="10" t="s">
        <v>200</v>
      </c>
    </row>
    <row r="7" spans="1:6" ht="28.05" customHeight="1" x14ac:dyDescent="0.2">
      <c r="C7" s="8">
        <v>3</v>
      </c>
      <c r="D7" s="9" t="str">
        <f>+LBO!D42</f>
        <v>WK (Operating Working Capital)</v>
      </c>
      <c r="E7" s="10" t="s">
        <v>201</v>
      </c>
    </row>
    <row r="8" spans="1:6" ht="28.05" customHeight="1" x14ac:dyDescent="0.2">
      <c r="C8" s="8">
        <v>4</v>
      </c>
      <c r="D8" s="9" t="str">
        <f>+LBO!D51</f>
        <v>Capex &amp; D&amp;A (Owned PP&amp;E + Intangibles)</v>
      </c>
      <c r="E8" s="10" t="s">
        <v>202</v>
      </c>
    </row>
    <row r="9" spans="1:6" ht="28.05" customHeight="1" x14ac:dyDescent="0.2">
      <c r="C9" s="8">
        <v>5</v>
      </c>
      <c r="D9" s="9" t="str">
        <f>+LBO!D75</f>
        <v>Debt Schedule (Senior TLA, Senior TLB &amp; RCF with Cash Sweep)</v>
      </c>
      <c r="E9" s="10" t="s">
        <v>203</v>
      </c>
    </row>
    <row r="10" spans="1:6" ht="28.05" customHeight="1" x14ac:dyDescent="0.2">
      <c r="C10" s="8">
        <v>6</v>
      </c>
      <c r="D10" s="9" t="str">
        <f>+LBO!D146</f>
        <v>EBITDA reference (FY25A Pre-IFRS 16 Cash EBITDA)</v>
      </c>
      <c r="E10" s="10" t="s">
        <v>204</v>
      </c>
    </row>
    <row r="11" spans="1:6" ht="28.05" customHeight="1" x14ac:dyDescent="0.2">
      <c r="C11" s="8">
        <v>7</v>
      </c>
      <c r="D11" s="9" t="str">
        <f>+LBO!D195</f>
        <v>EBITDA Exit Multiple (Pre-IFRS 16)</v>
      </c>
      <c r="E11" s="10" t="s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2"/>
  <sheetViews>
    <sheetView showGridLines="0" tabSelected="1" topLeftCell="A200" workbookViewId="0">
      <selection activeCell="U219" sqref="U219"/>
    </sheetView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49" customWidth="1"/>
    <col min="5" max="7" width="10.42578125" customWidth="1"/>
    <col min="8" max="8" width="11.42578125" customWidth="1"/>
    <col min="9" max="9" width="3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.05" customHeight="1" x14ac:dyDescent="0.25">
      <c r="A2" s="5" t="s">
        <v>1</v>
      </c>
      <c r="B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 t="s">
        <v>3</v>
      </c>
      <c r="V2" s="2"/>
    </row>
    <row r="5" spans="1:22" ht="16.05" customHeight="1" x14ac:dyDescent="0.2">
      <c r="A5" s="11" t="s">
        <v>4</v>
      </c>
      <c r="B5" s="11" t="s">
        <v>4</v>
      </c>
      <c r="C5" s="12" t="s">
        <v>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7" spans="1:22" x14ac:dyDescent="0.2">
      <c r="B7" s="11" t="s">
        <v>4</v>
      </c>
      <c r="C7" s="13" t="s">
        <v>6</v>
      </c>
      <c r="D7" s="13"/>
      <c r="E7" s="14" t="s">
        <v>7</v>
      </c>
      <c r="F7" s="14" t="s">
        <v>8</v>
      </c>
      <c r="G7" s="14" t="s">
        <v>9</v>
      </c>
      <c r="H7" s="14" t="s">
        <v>10</v>
      </c>
      <c r="I7" s="13"/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3"/>
      <c r="T7" s="13"/>
      <c r="U7" s="13"/>
      <c r="V7" s="13"/>
    </row>
    <row r="8" spans="1:22" x14ac:dyDescent="0.2">
      <c r="C8" s="13"/>
      <c r="D8" s="13" t="s">
        <v>12</v>
      </c>
      <c r="E8" s="14" t="s">
        <v>13</v>
      </c>
      <c r="F8" s="14" t="s">
        <v>14</v>
      </c>
      <c r="G8" s="14" t="s">
        <v>15</v>
      </c>
      <c r="H8" s="14" t="str">
        <f>CHOOSE($F$9,E8,F8,G8)</f>
        <v>Base Case</v>
      </c>
      <c r="I8" s="13"/>
      <c r="J8" s="15">
        <v>2022</v>
      </c>
      <c r="K8" s="15">
        <f t="shared" ref="K8:R8" si="0">+J8+1</f>
        <v>2023</v>
      </c>
      <c r="L8" s="15">
        <f t="shared" si="0"/>
        <v>2024</v>
      </c>
      <c r="M8" s="15">
        <f t="shared" si="0"/>
        <v>2025</v>
      </c>
      <c r="N8" s="16">
        <f t="shared" si="0"/>
        <v>2026</v>
      </c>
      <c r="O8" s="16">
        <f t="shared" si="0"/>
        <v>2027</v>
      </c>
      <c r="P8" s="16">
        <f t="shared" si="0"/>
        <v>2028</v>
      </c>
      <c r="Q8" s="16">
        <f t="shared" si="0"/>
        <v>2029</v>
      </c>
      <c r="R8" s="16">
        <f t="shared" si="0"/>
        <v>2030</v>
      </c>
      <c r="S8" s="13"/>
      <c r="T8" s="13"/>
      <c r="U8" s="13"/>
      <c r="V8" s="13"/>
    </row>
    <row r="9" spans="1:22" x14ac:dyDescent="0.2">
      <c r="B9" s="8">
        <v>1</v>
      </c>
      <c r="D9" s="17" t="s">
        <v>206</v>
      </c>
      <c r="E9" s="18"/>
      <c r="F9" s="19">
        <v>1</v>
      </c>
      <c r="G9" s="17"/>
      <c r="H9" s="20" t="str">
        <f>CHOOSE($F$9,E8,F8,G8)</f>
        <v>Base Case</v>
      </c>
    </row>
    <row r="10" spans="1:22" x14ac:dyDescent="0.2">
      <c r="D10" s="21" t="s">
        <v>16</v>
      </c>
      <c r="E10" s="22">
        <v>5.5E-2</v>
      </c>
      <c r="F10" s="22">
        <v>0.08</v>
      </c>
      <c r="G10" s="22">
        <v>2.2499999999999999E-2</v>
      </c>
      <c r="H10" s="23">
        <f t="shared" ref="H10:H17" si="1">CHOOSE($F$9,E10,F10,G10)</f>
        <v>5.5E-2</v>
      </c>
      <c r="J10" s="22">
        <v>0.17499999999999999</v>
      </c>
      <c r="K10" s="22">
        <v>0.104</v>
      </c>
      <c r="L10" s="22">
        <v>7.4999999999999997E-2</v>
      </c>
      <c r="M10" s="22">
        <v>3.2000000000000001E-2</v>
      </c>
      <c r="N10" s="24">
        <f t="shared" ref="N10:R17" si="2">+$H10</f>
        <v>5.5E-2</v>
      </c>
      <c r="O10" s="24">
        <f t="shared" si="2"/>
        <v>5.5E-2</v>
      </c>
      <c r="P10" s="24">
        <f t="shared" si="2"/>
        <v>5.5E-2</v>
      </c>
      <c r="Q10" s="24">
        <f t="shared" si="2"/>
        <v>5.5E-2</v>
      </c>
      <c r="R10" s="24">
        <f t="shared" si="2"/>
        <v>5.5E-2</v>
      </c>
    </row>
    <row r="11" spans="1:22" x14ac:dyDescent="0.2">
      <c r="D11" s="21" t="s">
        <v>17</v>
      </c>
      <c r="E11" s="22">
        <v>0.58199999999999996</v>
      </c>
      <c r="F11" s="22">
        <v>0.59</v>
      </c>
      <c r="G11" s="22">
        <v>0.56999999999999995</v>
      </c>
      <c r="H11" s="23">
        <f t="shared" si="1"/>
        <v>0.58199999999999996</v>
      </c>
      <c r="J11" s="25">
        <f>+J23/J$21</f>
        <v>0.56983634744695877</v>
      </c>
      <c r="K11" s="25">
        <f>+K23/K$21</f>
        <v>0.57757253734664926</v>
      </c>
      <c r="L11" s="25">
        <f>+L23/L$21</f>
        <v>0.57835473182853592</v>
      </c>
      <c r="M11" s="25">
        <f>+M23/M$21</f>
        <v>0.58253060405378287</v>
      </c>
      <c r="N11" s="24">
        <f t="shared" si="2"/>
        <v>0.58199999999999996</v>
      </c>
      <c r="O11" s="24">
        <f t="shared" si="2"/>
        <v>0.58199999999999996</v>
      </c>
      <c r="P11" s="24">
        <f t="shared" si="2"/>
        <v>0.58199999999999996</v>
      </c>
      <c r="Q11" s="24">
        <f t="shared" si="2"/>
        <v>0.58199999999999996</v>
      </c>
      <c r="R11" s="24">
        <f t="shared" si="2"/>
        <v>0.58199999999999996</v>
      </c>
    </row>
    <row r="12" spans="1:22" x14ac:dyDescent="0.2">
      <c r="D12" s="21" t="s">
        <v>18</v>
      </c>
      <c r="E12" s="22">
        <v>4.2500000000000003E-2</v>
      </c>
      <c r="F12" s="22">
        <v>5.5E-2</v>
      </c>
      <c r="G12" s="22">
        <v>3.2500000000000001E-2</v>
      </c>
      <c r="H12" s="23">
        <f t="shared" si="1"/>
        <v>4.2500000000000003E-2</v>
      </c>
      <c r="J12" s="22">
        <v>0.109</v>
      </c>
      <c r="K12" s="22">
        <v>0.1</v>
      </c>
      <c r="L12" s="22">
        <v>6.5000000000000002E-2</v>
      </c>
      <c r="M12" s="22">
        <v>2.8000000000000001E-2</v>
      </c>
      <c r="N12" s="24">
        <f t="shared" si="2"/>
        <v>4.2500000000000003E-2</v>
      </c>
      <c r="O12" s="24">
        <f t="shared" si="2"/>
        <v>4.2500000000000003E-2</v>
      </c>
      <c r="P12" s="24">
        <f t="shared" si="2"/>
        <v>4.2500000000000003E-2</v>
      </c>
      <c r="Q12" s="24">
        <f t="shared" si="2"/>
        <v>4.2500000000000003E-2</v>
      </c>
      <c r="R12" s="24">
        <f t="shared" si="2"/>
        <v>4.2500000000000003E-2</v>
      </c>
    </row>
    <row r="13" spans="1:22" x14ac:dyDescent="0.2">
      <c r="D13" s="21" t="s">
        <v>19</v>
      </c>
      <c r="E13" s="22">
        <v>0.02</v>
      </c>
      <c r="F13" s="22">
        <v>0.03</v>
      </c>
      <c r="G13" s="22">
        <v>0.01</v>
      </c>
      <c r="H13" s="23">
        <f t="shared" si="1"/>
        <v>0.02</v>
      </c>
      <c r="J13" s="22">
        <v>0.05</v>
      </c>
      <c r="K13" s="25">
        <f>+K28/J28-1</f>
        <v>6.9093152375077072E-2</v>
      </c>
      <c r="L13" s="25">
        <f>+L28/K28-1</f>
        <v>3.9815349105597253E-2</v>
      </c>
      <c r="M13" s="25">
        <f>+M28/L28-1</f>
        <v>1.7758046614872347E-2</v>
      </c>
      <c r="N13" s="24">
        <f t="shared" si="2"/>
        <v>0.02</v>
      </c>
      <c r="O13" s="24">
        <f t="shared" si="2"/>
        <v>0.02</v>
      </c>
      <c r="P13" s="24">
        <f t="shared" si="2"/>
        <v>0.02</v>
      </c>
      <c r="Q13" s="24">
        <f t="shared" si="2"/>
        <v>0.02</v>
      </c>
      <c r="R13" s="24">
        <f t="shared" si="2"/>
        <v>0.02</v>
      </c>
    </row>
    <row r="14" spans="1:22" x14ac:dyDescent="0.2">
      <c r="D14" s="21" t="s">
        <v>20</v>
      </c>
      <c r="E14" s="22">
        <v>5.1999999999999998E-2</v>
      </c>
      <c r="F14" s="22">
        <v>5.3499999999999999E-2</v>
      </c>
      <c r="G14" s="22">
        <v>4.9000000000000002E-2</v>
      </c>
      <c r="H14" s="23">
        <f t="shared" si="1"/>
        <v>5.1999999999999998E-2</v>
      </c>
      <c r="J14" s="25">
        <f>+J57/J$21</f>
        <v>4.3446221867419942E-2</v>
      </c>
      <c r="K14" s="25">
        <f>+K57/K$21</f>
        <v>5.2076668428519768E-2</v>
      </c>
      <c r="L14" s="25">
        <f>+L57/L$21</f>
        <v>6.916545868709878E-2</v>
      </c>
      <c r="M14" s="25">
        <f>+M57/M$21</f>
        <v>6.8031306441902473E-2</v>
      </c>
      <c r="N14" s="24">
        <f t="shared" si="2"/>
        <v>5.1999999999999998E-2</v>
      </c>
      <c r="O14" s="24">
        <f t="shared" si="2"/>
        <v>5.1999999999999998E-2</v>
      </c>
      <c r="P14" s="24">
        <f t="shared" si="2"/>
        <v>5.1999999999999998E-2</v>
      </c>
      <c r="Q14" s="24">
        <f t="shared" si="2"/>
        <v>5.1999999999999998E-2</v>
      </c>
      <c r="R14" s="24">
        <f t="shared" si="2"/>
        <v>5.1999999999999998E-2</v>
      </c>
    </row>
    <row r="15" spans="1:22" x14ac:dyDescent="0.2">
      <c r="D15" s="21" t="s">
        <v>21</v>
      </c>
      <c r="E15" s="22">
        <v>8.1500000000000003E-2</v>
      </c>
      <c r="F15" s="22">
        <v>7.9000000000000001E-2</v>
      </c>
      <c r="G15" s="22">
        <v>8.5000000000000006E-2</v>
      </c>
      <c r="H15" s="23">
        <f t="shared" si="1"/>
        <v>8.1500000000000003E-2</v>
      </c>
      <c r="J15" s="25">
        <f t="shared" ref="J15:M17" si="3">+J43/J$21</f>
        <v>9.7976603518683411E-2</v>
      </c>
      <c r="K15" s="25">
        <f t="shared" si="3"/>
        <v>8.251036247809275E-2</v>
      </c>
      <c r="L15" s="25">
        <f t="shared" si="3"/>
        <v>8.5965003106233173E-2</v>
      </c>
      <c r="M15" s="25">
        <f t="shared" si="3"/>
        <v>8.1502107164358822E-2</v>
      </c>
      <c r="N15" s="24">
        <f t="shared" si="2"/>
        <v>8.1500000000000003E-2</v>
      </c>
      <c r="O15" s="24">
        <f t="shared" si="2"/>
        <v>8.1500000000000003E-2</v>
      </c>
      <c r="P15" s="24">
        <f t="shared" si="2"/>
        <v>8.1500000000000003E-2</v>
      </c>
      <c r="Q15" s="24">
        <f t="shared" si="2"/>
        <v>8.1500000000000003E-2</v>
      </c>
      <c r="R15" s="24">
        <f t="shared" si="2"/>
        <v>8.1500000000000003E-2</v>
      </c>
    </row>
    <row r="16" spans="1:22" x14ac:dyDescent="0.2">
      <c r="D16" s="21" t="s">
        <v>22</v>
      </c>
      <c r="E16" s="22">
        <v>2.92E-2</v>
      </c>
      <c r="F16" s="22">
        <v>2.8500000000000001E-2</v>
      </c>
      <c r="G16" s="22">
        <v>0.03</v>
      </c>
      <c r="H16" s="23">
        <f t="shared" si="1"/>
        <v>2.92E-2</v>
      </c>
      <c r="J16" s="25">
        <f t="shared" si="3"/>
        <v>2.612914120789708E-2</v>
      </c>
      <c r="K16" s="25">
        <f t="shared" si="3"/>
        <v>2.8875844994018973E-2</v>
      </c>
      <c r="L16" s="25">
        <f t="shared" si="3"/>
        <v>2.8163180782770761E-2</v>
      </c>
      <c r="M16" s="25">
        <f t="shared" si="3"/>
        <v>2.9249448123620309E-2</v>
      </c>
      <c r="N16" s="24">
        <f t="shared" si="2"/>
        <v>2.92E-2</v>
      </c>
      <c r="O16" s="24">
        <f t="shared" si="2"/>
        <v>2.92E-2</v>
      </c>
      <c r="P16" s="24">
        <f t="shared" si="2"/>
        <v>2.92E-2</v>
      </c>
      <c r="Q16" s="24">
        <f t="shared" si="2"/>
        <v>2.92E-2</v>
      </c>
      <c r="R16" s="24">
        <f t="shared" si="2"/>
        <v>2.92E-2</v>
      </c>
    </row>
    <row r="17" spans="2:22" x14ac:dyDescent="0.2">
      <c r="D17" s="21" t="s">
        <v>23</v>
      </c>
      <c r="E17" s="22">
        <v>-0.21540000000000001</v>
      </c>
      <c r="F17" s="22">
        <v>-0.2155</v>
      </c>
      <c r="G17" s="22">
        <v>-0.21299999999999999</v>
      </c>
      <c r="H17" s="23">
        <f t="shared" si="1"/>
        <v>-0.21540000000000001</v>
      </c>
      <c r="J17" s="25">
        <f t="shared" si="3"/>
        <v>-0.20144923086370475</v>
      </c>
      <c r="K17" s="25">
        <f t="shared" si="3"/>
        <v>-0.20772248031824631</v>
      </c>
      <c r="L17" s="25">
        <f t="shared" si="3"/>
        <v>-0.22235452474632428</v>
      </c>
      <c r="M17" s="25">
        <f t="shared" si="3"/>
        <v>-0.21540738510937185</v>
      </c>
      <c r="N17" s="24">
        <f t="shared" si="2"/>
        <v>-0.21540000000000001</v>
      </c>
      <c r="O17" s="24">
        <f t="shared" si="2"/>
        <v>-0.21540000000000001</v>
      </c>
      <c r="P17" s="24">
        <f t="shared" si="2"/>
        <v>-0.21540000000000001</v>
      </c>
      <c r="Q17" s="24">
        <f t="shared" si="2"/>
        <v>-0.21540000000000001</v>
      </c>
      <c r="R17" s="24">
        <f t="shared" si="2"/>
        <v>-0.21540000000000001</v>
      </c>
    </row>
    <row r="19" spans="2:22" ht="13.95" customHeight="1" x14ac:dyDescent="0.2">
      <c r="B19" s="11" t="s">
        <v>4</v>
      </c>
      <c r="C19" s="13" t="s">
        <v>24</v>
      </c>
      <c r="D19" s="13"/>
      <c r="E19" s="13"/>
      <c r="F19" s="13"/>
      <c r="G19" s="13"/>
      <c r="H19" s="13"/>
      <c r="I19" s="13"/>
      <c r="J19" s="14" t="s">
        <v>11</v>
      </c>
      <c r="K19" s="14" t="s">
        <v>11</v>
      </c>
      <c r="L19" s="14" t="s">
        <v>11</v>
      </c>
      <c r="M19" s="14" t="s">
        <v>11</v>
      </c>
      <c r="N19" s="14" t="s">
        <v>11</v>
      </c>
      <c r="O19" s="14" t="s">
        <v>11</v>
      </c>
      <c r="P19" s="14" t="s">
        <v>11</v>
      </c>
      <c r="Q19" s="14" t="s">
        <v>11</v>
      </c>
      <c r="R19" s="14" t="s">
        <v>11</v>
      </c>
      <c r="S19" s="13"/>
      <c r="T19" s="13"/>
      <c r="U19" s="92" t="s">
        <v>25</v>
      </c>
      <c r="V19" s="92" t="s">
        <v>26</v>
      </c>
    </row>
    <row r="20" spans="2:22" ht="13.95" customHeight="1" x14ac:dyDescent="0.2">
      <c r="C20" s="13" t="s">
        <v>27</v>
      </c>
      <c r="D20" s="13"/>
      <c r="E20" s="13"/>
      <c r="F20" s="13"/>
      <c r="G20" s="13"/>
      <c r="H20" s="13"/>
      <c r="I20" s="13"/>
      <c r="J20" s="15">
        <v>2022</v>
      </c>
      <c r="K20" s="15">
        <f t="shared" ref="K20:R20" si="4">+J20+1</f>
        <v>2023</v>
      </c>
      <c r="L20" s="15">
        <f t="shared" si="4"/>
        <v>2024</v>
      </c>
      <c r="M20" s="15">
        <f t="shared" si="4"/>
        <v>2025</v>
      </c>
      <c r="N20" s="16">
        <f t="shared" si="4"/>
        <v>2026</v>
      </c>
      <c r="O20" s="16">
        <f t="shared" si="4"/>
        <v>2027</v>
      </c>
      <c r="P20" s="16">
        <f t="shared" si="4"/>
        <v>2028</v>
      </c>
      <c r="Q20" s="16">
        <f t="shared" si="4"/>
        <v>2029</v>
      </c>
      <c r="R20" s="16">
        <f t="shared" si="4"/>
        <v>2030</v>
      </c>
      <c r="S20" s="13"/>
      <c r="T20" s="13"/>
      <c r="U20" s="93"/>
      <c r="V20" s="93"/>
    </row>
    <row r="21" spans="2:22" x14ac:dyDescent="0.2">
      <c r="B21" s="8">
        <v>2</v>
      </c>
      <c r="D21" s="17" t="s">
        <v>28</v>
      </c>
      <c r="E21" s="17"/>
      <c r="F21" s="17"/>
      <c r="G21" s="17"/>
      <c r="H21" s="17"/>
      <c r="I21" s="17"/>
      <c r="J21" s="26">
        <v>32569</v>
      </c>
      <c r="K21" s="26">
        <v>35947</v>
      </c>
      <c r="L21" s="26">
        <v>38632</v>
      </c>
      <c r="M21" s="26">
        <v>39864</v>
      </c>
      <c r="N21" s="27">
        <f>+M21*(1+N10)</f>
        <v>42056.52</v>
      </c>
      <c r="O21" s="27">
        <f>+N21*(1+O10)</f>
        <v>44369.628599999996</v>
      </c>
      <c r="P21" s="27">
        <f>+O21*(1+P10)</f>
        <v>46809.958172999992</v>
      </c>
      <c r="Q21" s="27">
        <f>+P21*(1+Q10)</f>
        <v>49384.505872514987</v>
      </c>
      <c r="R21" s="27">
        <f>+Q21*(1+R10)</f>
        <v>52100.653695503308</v>
      </c>
      <c r="S21" s="17"/>
      <c r="T21" s="17"/>
      <c r="U21" s="28">
        <f t="shared" ref="U21:U32" si="5">+IFERROR((M21/J21)^(1/(M$20-J$20))-1,0)</f>
        <v>6.9692169565607642E-2</v>
      </c>
      <c r="V21" s="28">
        <f t="shared" ref="V21:V32" si="6">+IFERROR((R21/M21)^(1/(R$20-M$20))-1,"n.a.")</f>
        <v>5.4999999999999938E-2</v>
      </c>
    </row>
    <row r="22" spans="2:22" x14ac:dyDescent="0.2">
      <c r="D22" s="21" t="s">
        <v>29</v>
      </c>
      <c r="J22" s="29">
        <f t="shared" ref="J22:R22" si="7">+J23-J21</f>
        <v>-14010</v>
      </c>
      <c r="K22" s="29">
        <f t="shared" si="7"/>
        <v>-15185</v>
      </c>
      <c r="L22" s="29">
        <f t="shared" si="7"/>
        <v>-16289</v>
      </c>
      <c r="M22" s="29">
        <f t="shared" si="7"/>
        <v>-16642</v>
      </c>
      <c r="N22" s="29">
        <f t="shared" si="7"/>
        <v>-17579.625360000002</v>
      </c>
      <c r="O22" s="29">
        <f t="shared" si="7"/>
        <v>-18546.5047548</v>
      </c>
      <c r="P22" s="29">
        <f t="shared" si="7"/>
        <v>-19566.562516313999</v>
      </c>
      <c r="Q22" s="29">
        <f t="shared" si="7"/>
        <v>-20642.723454711268</v>
      </c>
      <c r="R22" s="29">
        <f t="shared" si="7"/>
        <v>-21778.073244720385</v>
      </c>
      <c r="U22" s="30">
        <f t="shared" si="5"/>
        <v>5.9064622247452236E-2</v>
      </c>
      <c r="V22" s="30">
        <f t="shared" si="6"/>
        <v>5.5268044988648457E-2</v>
      </c>
    </row>
    <row r="23" spans="2:22" x14ac:dyDescent="0.2">
      <c r="D23" s="17" t="s">
        <v>30</v>
      </c>
      <c r="E23" s="17"/>
      <c r="F23" s="17"/>
      <c r="G23" s="17"/>
      <c r="H23" s="17"/>
      <c r="I23" s="17"/>
      <c r="J23" s="26">
        <v>18559</v>
      </c>
      <c r="K23" s="26">
        <v>20762</v>
      </c>
      <c r="L23" s="26">
        <v>22343</v>
      </c>
      <c r="M23" s="26">
        <v>23222</v>
      </c>
      <c r="N23" s="27">
        <f>+N21*N11</f>
        <v>24476.894639999995</v>
      </c>
      <c r="O23" s="27">
        <f>+O21*O11</f>
        <v>25823.123845199996</v>
      </c>
      <c r="P23" s="27">
        <f>+P21*P11</f>
        <v>27243.395656685992</v>
      </c>
      <c r="Q23" s="27">
        <f>+Q21*Q11</f>
        <v>28741.782417803719</v>
      </c>
      <c r="R23" s="27">
        <f>+R21*R11</f>
        <v>30322.580450782923</v>
      </c>
      <c r="S23" s="17"/>
      <c r="T23" s="17"/>
      <c r="U23" s="28">
        <f t="shared" si="5"/>
        <v>7.7577090563288209E-2</v>
      </c>
      <c r="V23" s="28">
        <f t="shared" si="6"/>
        <v>5.4807738395338035E-2</v>
      </c>
    </row>
    <row r="24" spans="2:22" x14ac:dyDescent="0.2">
      <c r="D24" s="31" t="s">
        <v>31</v>
      </c>
      <c r="J24" s="32">
        <f t="shared" ref="J24:R24" si="8">+IFERROR(J23/J$21,0)</f>
        <v>0.56983634744695877</v>
      </c>
      <c r="K24" s="32">
        <f t="shared" si="8"/>
        <v>0.57757253734664926</v>
      </c>
      <c r="L24" s="32">
        <f t="shared" si="8"/>
        <v>0.57835473182853592</v>
      </c>
      <c r="M24" s="32">
        <f t="shared" si="8"/>
        <v>0.58253060405378287</v>
      </c>
      <c r="N24" s="32">
        <f t="shared" si="8"/>
        <v>0.58199999999999996</v>
      </c>
      <c r="O24" s="32">
        <f t="shared" si="8"/>
        <v>0.58199999999999996</v>
      </c>
      <c r="P24" s="32">
        <f t="shared" si="8"/>
        <v>0.58199999999999996</v>
      </c>
      <c r="Q24" s="32">
        <f t="shared" si="8"/>
        <v>0.58199999999999996</v>
      </c>
      <c r="R24" s="32">
        <f t="shared" si="8"/>
        <v>0.58199999999999996</v>
      </c>
      <c r="U24" s="30">
        <f t="shared" si="5"/>
        <v>7.3712056814276838E-3</v>
      </c>
      <c r="V24" s="30">
        <f t="shared" si="6"/>
        <v>-1.8223848783116559E-4</v>
      </c>
    </row>
    <row r="25" spans="2:22" x14ac:dyDescent="0.2">
      <c r="D25" s="21" t="s">
        <v>32</v>
      </c>
      <c r="J25" s="33">
        <v>-9910</v>
      </c>
      <c r="K25" s="33">
        <v>-10912</v>
      </c>
      <c r="L25" s="33">
        <v>-11615</v>
      </c>
      <c r="M25" s="33">
        <v>-11955</v>
      </c>
      <c r="N25" s="34">
        <f>+M25*(1+N12)</f>
        <v>-12463.0875</v>
      </c>
      <c r="O25" s="34">
        <f>+N25*(1+O12)</f>
        <v>-12992.76871875</v>
      </c>
      <c r="P25" s="34">
        <f>+O25*(1+P12)</f>
        <v>-13544.961389296874</v>
      </c>
      <c r="Q25" s="34">
        <f>+P25*(1+Q12)</f>
        <v>-14120.62224834199</v>
      </c>
      <c r="R25" s="34">
        <f>+Q25*(1+R12)</f>
        <v>-14720.748693896525</v>
      </c>
      <c r="U25" s="30">
        <f t="shared" si="5"/>
        <v>6.4531806498290267E-2</v>
      </c>
      <c r="V25" s="30">
        <f t="shared" si="6"/>
        <v>4.2499999999999982E-2</v>
      </c>
    </row>
    <row r="26" spans="2:22" x14ac:dyDescent="0.2">
      <c r="D26" s="17" t="s">
        <v>33</v>
      </c>
      <c r="E26" s="17"/>
      <c r="F26" s="17"/>
      <c r="G26" s="17"/>
      <c r="H26" s="17"/>
      <c r="I26" s="17"/>
      <c r="J26" s="27">
        <f t="shared" ref="J26:R26" si="9">+J23+J25</f>
        <v>8649</v>
      </c>
      <c r="K26" s="27">
        <f t="shared" si="9"/>
        <v>9850</v>
      </c>
      <c r="L26" s="27">
        <f t="shared" si="9"/>
        <v>10728</v>
      </c>
      <c r="M26" s="27">
        <f t="shared" si="9"/>
        <v>11267</v>
      </c>
      <c r="N26" s="27">
        <f t="shared" si="9"/>
        <v>12013.807139999995</v>
      </c>
      <c r="O26" s="27">
        <f t="shared" si="9"/>
        <v>12830.355126449997</v>
      </c>
      <c r="P26" s="27">
        <f t="shared" si="9"/>
        <v>13698.434267389119</v>
      </c>
      <c r="Q26" s="27">
        <f t="shared" si="9"/>
        <v>14621.160169461729</v>
      </c>
      <c r="R26" s="27">
        <f t="shared" si="9"/>
        <v>15601.831756886399</v>
      </c>
      <c r="S26" s="17"/>
      <c r="T26" s="17"/>
      <c r="U26" s="28">
        <f t="shared" si="5"/>
        <v>9.2146250392488138E-2</v>
      </c>
      <c r="V26" s="28">
        <f t="shared" si="6"/>
        <v>6.7267928928978815E-2</v>
      </c>
    </row>
    <row r="27" spans="2:22" x14ac:dyDescent="0.2">
      <c r="D27" s="31" t="s">
        <v>34</v>
      </c>
      <c r="J27" s="32">
        <f t="shared" ref="J27:R27" si="10">+IFERROR(J26/J$21,0)</f>
        <v>0.2655592741564064</v>
      </c>
      <c r="K27" s="32">
        <f t="shared" si="10"/>
        <v>0.27401452137869642</v>
      </c>
      <c r="L27" s="32">
        <f t="shared" si="10"/>
        <v>0.27769724580658522</v>
      </c>
      <c r="M27" s="32">
        <f t="shared" si="10"/>
        <v>0.28263596227172388</v>
      </c>
      <c r="N27" s="32">
        <f t="shared" si="10"/>
        <v>0.2856586122674914</v>
      </c>
      <c r="O27" s="32">
        <f t="shared" si="10"/>
        <v>0.28916976615057799</v>
      </c>
      <c r="P27" s="32">
        <f t="shared" si="10"/>
        <v>0.2926393186843389</v>
      </c>
      <c r="Q27" s="32">
        <f t="shared" si="10"/>
        <v>0.29606776277575669</v>
      </c>
      <c r="R27" s="32">
        <f t="shared" si="10"/>
        <v>0.29945558549168372</v>
      </c>
      <c r="U27" s="30">
        <f t="shared" si="5"/>
        <v>2.0991161257167157E-2</v>
      </c>
      <c r="V27" s="30">
        <f t="shared" si="6"/>
        <v>1.1628368653060495E-2</v>
      </c>
    </row>
    <row r="28" spans="2:22" x14ac:dyDescent="0.2">
      <c r="D28" s="21" t="s">
        <v>35</v>
      </c>
      <c r="J28" s="33">
        <v>-1621</v>
      </c>
      <c r="K28" s="33">
        <v>-1733</v>
      </c>
      <c r="L28" s="33">
        <v>-1802</v>
      </c>
      <c r="M28" s="33">
        <v>-1834</v>
      </c>
      <c r="N28" s="34">
        <f>+M28*(1+N13)</f>
        <v>-1870.68</v>
      </c>
      <c r="O28" s="34">
        <f>+N28*(1+O13)</f>
        <v>-1908.0936000000002</v>
      </c>
      <c r="P28" s="34">
        <f>+O28*(1+P13)</f>
        <v>-1946.2554720000003</v>
      </c>
      <c r="Q28" s="34">
        <f>+P28*(1+Q13)</f>
        <v>-1985.1805814400004</v>
      </c>
      <c r="R28" s="34">
        <f>+Q28*(1+R13)</f>
        <v>-2024.8841930688004</v>
      </c>
      <c r="U28" s="30">
        <f t="shared" si="5"/>
        <v>4.2010524630774926E-2</v>
      </c>
      <c r="V28" s="30">
        <f t="shared" si="6"/>
        <v>2.0000000000000018E-2</v>
      </c>
    </row>
    <row r="29" spans="2:22" x14ac:dyDescent="0.2">
      <c r="D29" s="35" t="s">
        <v>36</v>
      </c>
      <c r="E29" s="35"/>
      <c r="F29" s="35"/>
      <c r="G29" s="35"/>
      <c r="H29" s="35"/>
      <c r="I29" s="35"/>
      <c r="J29" s="36">
        <f t="shared" ref="J29:R29" si="11">+J26+J28</f>
        <v>7028</v>
      </c>
      <c r="K29" s="36">
        <f t="shared" si="11"/>
        <v>8117</v>
      </c>
      <c r="L29" s="36">
        <f t="shared" si="11"/>
        <v>8926</v>
      </c>
      <c r="M29" s="36">
        <f t="shared" si="11"/>
        <v>9433</v>
      </c>
      <c r="N29" s="36">
        <f t="shared" si="11"/>
        <v>10143.127139999995</v>
      </c>
      <c r="O29" s="36">
        <f t="shared" si="11"/>
        <v>10922.261526449996</v>
      </c>
      <c r="P29" s="36">
        <f t="shared" si="11"/>
        <v>11752.178795389118</v>
      </c>
      <c r="Q29" s="36">
        <f t="shared" si="11"/>
        <v>12635.979588021728</v>
      </c>
      <c r="R29" s="36">
        <f t="shared" si="11"/>
        <v>13576.947563817597</v>
      </c>
      <c r="S29" s="35"/>
      <c r="T29" s="35"/>
      <c r="U29" s="37">
        <f t="shared" si="5"/>
        <v>0.10307750263849003</v>
      </c>
      <c r="V29" s="37">
        <f t="shared" si="6"/>
        <v>7.5549644974216568E-2</v>
      </c>
    </row>
    <row r="30" spans="2:22" x14ac:dyDescent="0.2">
      <c r="D30" s="31" t="s">
        <v>37</v>
      </c>
      <c r="J30" s="32">
        <f t="shared" ref="J30:R30" si="12">+IFERROR(J29/J$21,0)</f>
        <v>0.21578801928213945</v>
      </c>
      <c r="K30" s="32">
        <f t="shared" si="12"/>
        <v>0.22580465685592679</v>
      </c>
      <c r="L30" s="32">
        <f t="shared" si="12"/>
        <v>0.23105197763512114</v>
      </c>
      <c r="M30" s="32">
        <f t="shared" si="12"/>
        <v>0.23662954043748746</v>
      </c>
      <c r="N30" s="32">
        <f t="shared" si="12"/>
        <v>0.24117846983059929</v>
      </c>
      <c r="O30" s="32">
        <f t="shared" si="12"/>
        <v>0.24616526824950699</v>
      </c>
      <c r="P30" s="32">
        <f t="shared" si="12"/>
        <v>0.25106151028709489</v>
      </c>
      <c r="Q30" s="32">
        <f t="shared" si="12"/>
        <v>0.25586931295093307</v>
      </c>
      <c r="R30" s="32">
        <f t="shared" si="12"/>
        <v>0.26059073352834716</v>
      </c>
      <c r="U30" s="30">
        <f t="shared" si="5"/>
        <v>3.1210224794334884E-2</v>
      </c>
      <c r="V30" s="30">
        <f t="shared" si="6"/>
        <v>1.9478336468451873E-2</v>
      </c>
    </row>
    <row r="31" spans="2:22" x14ac:dyDescent="0.2">
      <c r="D31" s="21" t="s">
        <v>38</v>
      </c>
      <c r="J31" s="29">
        <f t="shared" ref="J31:R31" si="13">+J55</f>
        <v>-1417</v>
      </c>
      <c r="K31" s="29">
        <f t="shared" si="13"/>
        <v>-1558</v>
      </c>
      <c r="L31" s="29">
        <f t="shared" si="13"/>
        <v>-1638</v>
      </c>
      <c r="M31" s="29">
        <f t="shared" si="13"/>
        <v>-1674</v>
      </c>
      <c r="N31" s="29">
        <f t="shared" si="13"/>
        <v>-1387.1469520000001</v>
      </c>
      <c r="O31" s="29">
        <f t="shared" si="13"/>
        <v>-1611.8549383599998</v>
      </c>
      <c r="P31" s="29">
        <f t="shared" si="13"/>
        <v>-1848.9218639697999</v>
      </c>
      <c r="Q31" s="29">
        <f t="shared" si="13"/>
        <v>-2099.0274704881385</v>
      </c>
      <c r="R31" s="29">
        <f t="shared" si="13"/>
        <v>-2362.8888853649864</v>
      </c>
      <c r="U31" s="30">
        <f t="shared" si="5"/>
        <v>5.7130332855993782E-2</v>
      </c>
      <c r="V31" s="30">
        <f t="shared" si="6"/>
        <v>7.1365282919122697E-2</v>
      </c>
    </row>
    <row r="32" spans="2:22" x14ac:dyDescent="0.2">
      <c r="D32" s="17" t="s">
        <v>39</v>
      </c>
      <c r="E32" s="17"/>
      <c r="F32" s="17"/>
      <c r="G32" s="17"/>
      <c r="H32" s="17"/>
      <c r="I32" s="17"/>
      <c r="J32" s="27">
        <f t="shared" ref="J32:R32" si="14">+J29+J31</f>
        <v>5611</v>
      </c>
      <c r="K32" s="27">
        <f t="shared" si="14"/>
        <v>6559</v>
      </c>
      <c r="L32" s="27">
        <f t="shared" si="14"/>
        <v>7288</v>
      </c>
      <c r="M32" s="27">
        <f t="shared" si="14"/>
        <v>7759</v>
      </c>
      <c r="N32" s="27">
        <f t="shared" si="14"/>
        <v>8755.9801879999941</v>
      </c>
      <c r="O32" s="27">
        <f t="shared" si="14"/>
        <v>9310.4065880899961</v>
      </c>
      <c r="P32" s="27">
        <f t="shared" si="14"/>
        <v>9903.2569314193188</v>
      </c>
      <c r="Q32" s="27">
        <f t="shared" si="14"/>
        <v>10536.95211753359</v>
      </c>
      <c r="R32" s="27">
        <f t="shared" si="14"/>
        <v>11214.058678452611</v>
      </c>
      <c r="S32" s="17"/>
      <c r="T32" s="17"/>
      <c r="U32" s="28">
        <f t="shared" si="5"/>
        <v>0.11409398049443942</v>
      </c>
      <c r="V32" s="28">
        <f t="shared" si="6"/>
        <v>7.6443933307820622E-2</v>
      </c>
    </row>
    <row r="33" spans="2:22" x14ac:dyDescent="0.2">
      <c r="D33" s="21" t="s">
        <v>40</v>
      </c>
      <c r="F33" s="38">
        <f>+F160</f>
        <v>6.5312500000000009E-2</v>
      </c>
      <c r="J33" s="33">
        <v>-69</v>
      </c>
      <c r="K33" s="33">
        <v>61</v>
      </c>
      <c r="L33" s="33">
        <v>23</v>
      </c>
      <c r="M33" s="33">
        <v>23</v>
      </c>
      <c r="N33" s="29">
        <f>+N116</f>
        <v>-2425.9375625000002</v>
      </c>
      <c r="O33" s="29">
        <f>+O116</f>
        <v>-2213.4800540814199</v>
      </c>
      <c r="P33" s="29">
        <f>+P116</f>
        <v>-1913.1154868281571</v>
      </c>
      <c r="Q33" s="29">
        <f>+Q116</f>
        <v>-1544.6372481070882</v>
      </c>
      <c r="R33" s="29">
        <f>+R116</f>
        <v>-1114.7450004439497</v>
      </c>
    </row>
    <row r="34" spans="2:22" x14ac:dyDescent="0.2">
      <c r="D34" s="39" t="s">
        <v>41</v>
      </c>
      <c r="J34" s="40">
        <f t="shared" ref="J34:R34" si="15">+SUM(J32:J33)</f>
        <v>5542</v>
      </c>
      <c r="K34" s="40">
        <f t="shared" si="15"/>
        <v>6620</v>
      </c>
      <c r="L34" s="40">
        <f t="shared" si="15"/>
        <v>7311</v>
      </c>
      <c r="M34" s="40">
        <f t="shared" si="15"/>
        <v>7782</v>
      </c>
      <c r="N34" s="40">
        <f t="shared" si="15"/>
        <v>6330.0426254999938</v>
      </c>
      <c r="O34" s="40">
        <f t="shared" si="15"/>
        <v>7096.9265340085767</v>
      </c>
      <c r="P34" s="40">
        <f t="shared" si="15"/>
        <v>7990.1414445911614</v>
      </c>
      <c r="Q34" s="40">
        <f t="shared" si="15"/>
        <v>8992.3148694265019</v>
      </c>
      <c r="R34" s="40">
        <f t="shared" si="15"/>
        <v>10099.313678008661</v>
      </c>
      <c r="U34" s="30">
        <f>+IFERROR((M34/J34)^(1/(M$20-J$20))-1,0)</f>
        <v>0.11980284964215104</v>
      </c>
      <c r="V34" s="30">
        <f>+IFERROR((R34/M34)^(1/(R$20-M$20))-1,"n.a.")</f>
        <v>5.3513552941806042E-2</v>
      </c>
    </row>
    <row r="35" spans="2:22" x14ac:dyDescent="0.2">
      <c r="D35" s="21" t="s">
        <v>42</v>
      </c>
      <c r="F35" s="41">
        <v>0.224</v>
      </c>
      <c r="J35" s="33">
        <v>-1211</v>
      </c>
      <c r="K35" s="33">
        <v>-1475</v>
      </c>
      <c r="L35" s="33">
        <v>-1700</v>
      </c>
      <c r="M35" s="33">
        <v>-1800</v>
      </c>
      <c r="N35" s="34">
        <f>+IF(N34&gt;0,-N34*$F$35,0)</f>
        <v>-1417.9295481119987</v>
      </c>
      <c r="O35" s="34">
        <f>+IF(O34&gt;0,-O34*$F$35,0)</f>
        <v>-1589.7115436179213</v>
      </c>
      <c r="P35" s="34">
        <f>+IF(P34&gt;0,-P34*$F$35,0)</f>
        <v>-1789.7916835884203</v>
      </c>
      <c r="Q35" s="34">
        <f>+IF(Q34&gt;0,-Q34*$F$35,0)</f>
        <v>-2014.2785307515364</v>
      </c>
      <c r="R35" s="34">
        <f>+IF(R34&gt;0,-R34*$F$35,0)</f>
        <v>-2262.2462638739398</v>
      </c>
      <c r="U35" s="30">
        <f>+IFERROR((M35/J35)^(1/(M$20-J$20))-1,0)</f>
        <v>0.14123772841397164</v>
      </c>
      <c r="V35" s="30">
        <f>+IFERROR((R35/M35)^(1/(R$20-M$20))-1,"n.a.")</f>
        <v>4.6775320613267057E-2</v>
      </c>
    </row>
    <row r="36" spans="2:22" x14ac:dyDescent="0.2">
      <c r="D36" s="35" t="s">
        <v>43</v>
      </c>
      <c r="E36" s="35"/>
      <c r="F36" s="35"/>
      <c r="G36" s="35"/>
      <c r="H36" s="35"/>
      <c r="I36" s="35"/>
      <c r="J36" s="36">
        <f t="shared" ref="J36:R36" si="16">+SUM(J34:J35)</f>
        <v>4331</v>
      </c>
      <c r="K36" s="36">
        <f t="shared" si="16"/>
        <v>5145</v>
      </c>
      <c r="L36" s="36">
        <f t="shared" si="16"/>
        <v>5611</v>
      </c>
      <c r="M36" s="36">
        <f t="shared" si="16"/>
        <v>5982</v>
      </c>
      <c r="N36" s="36">
        <f t="shared" si="16"/>
        <v>4912.113077387995</v>
      </c>
      <c r="O36" s="36">
        <f t="shared" si="16"/>
        <v>5507.2149903906557</v>
      </c>
      <c r="P36" s="36">
        <f t="shared" si="16"/>
        <v>6200.3497610027407</v>
      </c>
      <c r="Q36" s="36">
        <f t="shared" si="16"/>
        <v>6978.036338674965</v>
      </c>
      <c r="R36" s="36">
        <f t="shared" si="16"/>
        <v>7837.0674141347208</v>
      </c>
      <c r="S36" s="35"/>
      <c r="T36" s="35"/>
      <c r="U36" s="37">
        <f>+IFERROR((M36/J36)^(1/(M$20-J$20))-1,0)</f>
        <v>0.11366030907948232</v>
      </c>
      <c r="V36" s="37">
        <f>+IFERROR((R36/M36)^(1/(R$20-M$20))-1,"n.a.")</f>
        <v>5.5507770266652434E-2</v>
      </c>
    </row>
    <row r="39" spans="2:22" ht="13.95" customHeight="1" x14ac:dyDescent="0.2">
      <c r="B39" s="11" t="s">
        <v>4</v>
      </c>
      <c r="C39" s="13" t="s">
        <v>44</v>
      </c>
      <c r="D39" s="13"/>
      <c r="E39" s="13"/>
      <c r="F39" s="13"/>
      <c r="G39" s="13"/>
      <c r="H39" s="13"/>
      <c r="I39" s="13"/>
      <c r="J39" s="14" t="s">
        <v>11</v>
      </c>
      <c r="K39" s="14" t="s">
        <v>11</v>
      </c>
      <c r="L39" s="14" t="s">
        <v>11</v>
      </c>
      <c r="M39" s="14" t="s">
        <v>11</v>
      </c>
      <c r="N39" s="14" t="s">
        <v>11</v>
      </c>
      <c r="O39" s="14" t="s">
        <v>11</v>
      </c>
      <c r="P39" s="14" t="s">
        <v>11</v>
      </c>
      <c r="Q39" s="14" t="s">
        <v>11</v>
      </c>
      <c r="R39" s="14" t="s">
        <v>11</v>
      </c>
      <c r="S39" s="13"/>
      <c r="T39" s="13"/>
      <c r="U39" s="13"/>
      <c r="V39" s="13"/>
    </row>
    <row r="40" spans="2:22" ht="13.95" customHeight="1" x14ac:dyDescent="0.2">
      <c r="C40" s="13" t="s">
        <v>27</v>
      </c>
      <c r="D40" s="13"/>
      <c r="E40" s="13"/>
      <c r="F40" s="13"/>
      <c r="G40" s="13"/>
      <c r="H40" s="13"/>
      <c r="I40" s="13"/>
      <c r="J40" s="15">
        <f>+J20</f>
        <v>2022</v>
      </c>
      <c r="K40" s="15">
        <f t="shared" ref="K40:R40" si="17">+J40+1</f>
        <v>2023</v>
      </c>
      <c r="L40" s="15">
        <f t="shared" si="17"/>
        <v>2024</v>
      </c>
      <c r="M40" s="15">
        <f t="shared" si="17"/>
        <v>2025</v>
      </c>
      <c r="N40" s="16">
        <f t="shared" si="17"/>
        <v>2026</v>
      </c>
      <c r="O40" s="16">
        <f t="shared" si="17"/>
        <v>2027</v>
      </c>
      <c r="P40" s="16">
        <f t="shared" si="17"/>
        <v>2028</v>
      </c>
      <c r="Q40" s="16">
        <f t="shared" si="17"/>
        <v>2029</v>
      </c>
      <c r="R40" s="16">
        <f t="shared" si="17"/>
        <v>2030</v>
      </c>
      <c r="S40" s="13"/>
      <c r="T40" s="13"/>
      <c r="U40" s="13"/>
      <c r="V40" s="13"/>
    </row>
    <row r="42" spans="2:22" x14ac:dyDescent="0.2">
      <c r="B42" s="8">
        <v>3</v>
      </c>
      <c r="C42" s="11" t="s">
        <v>4</v>
      </c>
      <c r="D42" s="39" t="s">
        <v>45</v>
      </c>
    </row>
    <row r="43" spans="2:22" x14ac:dyDescent="0.2">
      <c r="D43" s="21" t="s">
        <v>46</v>
      </c>
      <c r="J43" s="33">
        <v>3191</v>
      </c>
      <c r="K43" s="33">
        <v>2966</v>
      </c>
      <c r="L43" s="33">
        <v>3321</v>
      </c>
      <c r="M43" s="33">
        <v>3249</v>
      </c>
      <c r="N43" s="34">
        <f t="shared" ref="N43:R45" si="18">+N$21*N15</f>
        <v>3427.6063799999997</v>
      </c>
      <c r="O43" s="34">
        <f t="shared" si="18"/>
        <v>3616.1247309</v>
      </c>
      <c r="P43" s="34">
        <f t="shared" si="18"/>
        <v>3815.0115910994996</v>
      </c>
      <c r="Q43" s="34">
        <f t="shared" si="18"/>
        <v>4024.8372286099716</v>
      </c>
      <c r="R43" s="34">
        <f t="shared" si="18"/>
        <v>4246.2032761835198</v>
      </c>
    </row>
    <row r="44" spans="2:22" x14ac:dyDescent="0.2">
      <c r="D44" s="21" t="s">
        <v>47</v>
      </c>
      <c r="J44" s="33">
        <v>851</v>
      </c>
      <c r="K44" s="33">
        <v>1038</v>
      </c>
      <c r="L44" s="33">
        <v>1088</v>
      </c>
      <c r="M44" s="33">
        <v>1166</v>
      </c>
      <c r="N44" s="34">
        <f t="shared" si="18"/>
        <v>1228.0503839999999</v>
      </c>
      <c r="O44" s="34">
        <f t="shared" si="18"/>
        <v>1295.5931551199999</v>
      </c>
      <c r="P44" s="34">
        <f t="shared" si="18"/>
        <v>1366.8507786515997</v>
      </c>
      <c r="Q44" s="34">
        <f t="shared" si="18"/>
        <v>1442.0275714774377</v>
      </c>
      <c r="R44" s="34">
        <f t="shared" si="18"/>
        <v>1521.3390879086967</v>
      </c>
    </row>
    <row r="45" spans="2:22" x14ac:dyDescent="0.2">
      <c r="D45" s="21" t="s">
        <v>48</v>
      </c>
      <c r="J45" s="33">
        <v>-6561</v>
      </c>
      <c r="K45" s="33">
        <v>-7467</v>
      </c>
      <c r="L45" s="33">
        <v>-8590</v>
      </c>
      <c r="M45" s="33">
        <v>-8587</v>
      </c>
      <c r="N45" s="34">
        <f t="shared" si="18"/>
        <v>-9058.974408</v>
      </c>
      <c r="O45" s="34">
        <f t="shared" si="18"/>
        <v>-9557.2180004399997</v>
      </c>
      <c r="P45" s="34">
        <f t="shared" si="18"/>
        <v>-10082.864990464199</v>
      </c>
      <c r="Q45" s="34">
        <f t="shared" si="18"/>
        <v>-10637.422564939729</v>
      </c>
      <c r="R45" s="34">
        <f t="shared" si="18"/>
        <v>-11222.480806011414</v>
      </c>
    </row>
    <row r="46" spans="2:22" x14ac:dyDescent="0.2">
      <c r="D46" s="17" t="s">
        <v>49</v>
      </c>
      <c r="E46" s="17"/>
      <c r="F46" s="17"/>
      <c r="G46" s="17"/>
      <c r="H46" s="17"/>
      <c r="I46" s="17"/>
      <c r="J46" s="27">
        <f t="shared" ref="J46:R46" si="19">+SUM(J43:J45)</f>
        <v>-2519</v>
      </c>
      <c r="K46" s="27">
        <f t="shared" si="19"/>
        <v>-3463</v>
      </c>
      <c r="L46" s="27">
        <f t="shared" si="19"/>
        <v>-4181</v>
      </c>
      <c r="M46" s="27">
        <f t="shared" si="19"/>
        <v>-4172</v>
      </c>
      <c r="N46" s="27">
        <f t="shared" si="19"/>
        <v>-4403.3176440000007</v>
      </c>
      <c r="O46" s="27">
        <f t="shared" si="19"/>
        <v>-4645.5001144199996</v>
      </c>
      <c r="P46" s="27">
        <f t="shared" si="19"/>
        <v>-4901.0026207130995</v>
      </c>
      <c r="Q46" s="27">
        <f t="shared" si="19"/>
        <v>-5170.5577648523195</v>
      </c>
      <c r="R46" s="27">
        <f t="shared" si="19"/>
        <v>-5454.9384419191974</v>
      </c>
    </row>
    <row r="47" spans="2:22" x14ac:dyDescent="0.2">
      <c r="D47" s="31" t="s">
        <v>50</v>
      </c>
      <c r="J47" s="32">
        <f t="shared" ref="J47:R47" si="20">+IFERROR(J46/J$21,0)</f>
        <v>-7.7343486137124259E-2</v>
      </c>
      <c r="K47" s="32">
        <f t="shared" si="20"/>
        <v>-9.6336272846134594E-2</v>
      </c>
      <c r="L47" s="32">
        <f t="shared" si="20"/>
        <v>-0.10822634085732036</v>
      </c>
      <c r="M47" s="32">
        <f t="shared" si="20"/>
        <v>-0.10465582982139274</v>
      </c>
      <c r="N47" s="32">
        <f t="shared" si="20"/>
        <v>-0.10470000000000003</v>
      </c>
      <c r="O47" s="32">
        <f t="shared" si="20"/>
        <v>-0.1047</v>
      </c>
      <c r="P47" s="32">
        <f t="shared" si="20"/>
        <v>-0.1047</v>
      </c>
      <c r="Q47" s="32">
        <f t="shared" si="20"/>
        <v>-0.1047</v>
      </c>
      <c r="R47" s="32">
        <f t="shared" si="20"/>
        <v>-0.10470000000000002</v>
      </c>
    </row>
    <row r="48" spans="2:22" x14ac:dyDescent="0.2">
      <c r="D48" s="35" t="s">
        <v>51</v>
      </c>
      <c r="E48" s="35"/>
      <c r="F48" s="35"/>
      <c r="G48" s="35"/>
      <c r="H48" s="35"/>
      <c r="I48" s="35"/>
      <c r="J48" s="42">
        <v>0</v>
      </c>
      <c r="K48" s="36">
        <f t="shared" ref="K48:R48" si="21">+(J46-K46)</f>
        <v>944</v>
      </c>
      <c r="L48" s="36">
        <f t="shared" si="21"/>
        <v>718</v>
      </c>
      <c r="M48" s="36">
        <f t="shared" si="21"/>
        <v>-9</v>
      </c>
      <c r="N48" s="36">
        <f t="shared" si="21"/>
        <v>231.31764400000066</v>
      </c>
      <c r="O48" s="36">
        <f t="shared" si="21"/>
        <v>242.18247041999894</v>
      </c>
      <c r="P48" s="36">
        <f t="shared" si="21"/>
        <v>255.50250629309994</v>
      </c>
      <c r="Q48" s="36">
        <f t="shared" si="21"/>
        <v>269.55514413921992</v>
      </c>
      <c r="R48" s="36">
        <f t="shared" si="21"/>
        <v>284.38067706687798</v>
      </c>
    </row>
    <row r="51" spans="2:18" x14ac:dyDescent="0.2">
      <c r="B51" s="8">
        <v>4</v>
      </c>
      <c r="C51" s="11" t="s">
        <v>4</v>
      </c>
      <c r="D51" s="39" t="s">
        <v>52</v>
      </c>
    </row>
    <row r="53" spans="2:18" x14ac:dyDescent="0.2">
      <c r="D53" s="21" t="s">
        <v>53</v>
      </c>
      <c r="J53" s="33">
        <v>8383</v>
      </c>
      <c r="K53" s="34">
        <f t="shared" ref="K53:R53" si="22">+J56</f>
        <v>8401</v>
      </c>
      <c r="L53" s="34">
        <f t="shared" si="22"/>
        <v>9560</v>
      </c>
      <c r="M53" s="34">
        <f t="shared" si="22"/>
        <v>11416</v>
      </c>
      <c r="N53" s="34">
        <f t="shared" si="22"/>
        <v>12778</v>
      </c>
      <c r="O53" s="34">
        <f t="shared" si="22"/>
        <v>13577.792087999998</v>
      </c>
      <c r="P53" s="34">
        <f t="shared" si="22"/>
        <v>14273.157836839997</v>
      </c>
      <c r="Q53" s="34">
        <f t="shared" si="22"/>
        <v>14858.353797866197</v>
      </c>
      <c r="R53" s="34">
        <f t="shared" si="22"/>
        <v>15327.320632748837</v>
      </c>
    </row>
    <row r="54" spans="2:18" x14ac:dyDescent="0.2">
      <c r="D54" s="21" t="s">
        <v>54</v>
      </c>
      <c r="J54" s="29">
        <f t="shared" ref="J54:R54" si="23">+J57</f>
        <v>1415</v>
      </c>
      <c r="K54" s="29">
        <f t="shared" si="23"/>
        <v>1872</v>
      </c>
      <c r="L54" s="29">
        <f t="shared" si="23"/>
        <v>2672</v>
      </c>
      <c r="M54" s="29">
        <f t="shared" si="23"/>
        <v>2712</v>
      </c>
      <c r="N54" s="29">
        <f t="shared" si="23"/>
        <v>2186.9390399999997</v>
      </c>
      <c r="O54" s="29">
        <f t="shared" si="23"/>
        <v>2307.2206871999997</v>
      </c>
      <c r="P54" s="29">
        <f t="shared" si="23"/>
        <v>2434.1178249959994</v>
      </c>
      <c r="Q54" s="29">
        <f t="shared" si="23"/>
        <v>2567.9943053707793</v>
      </c>
      <c r="R54" s="29">
        <f t="shared" si="23"/>
        <v>2709.2339921661719</v>
      </c>
    </row>
    <row r="55" spans="2:18" x14ac:dyDescent="0.2">
      <c r="D55" s="21" t="s">
        <v>55</v>
      </c>
      <c r="J55" s="33">
        <v>-1417</v>
      </c>
      <c r="K55" s="33">
        <v>-1558</v>
      </c>
      <c r="L55" s="33">
        <v>-1638</v>
      </c>
      <c r="M55" s="33">
        <v>-1674</v>
      </c>
      <c r="N55" s="34">
        <f>+N61+N72</f>
        <v>-1387.1469520000001</v>
      </c>
      <c r="O55" s="34">
        <f>+O61+O72</f>
        <v>-1611.8549383599998</v>
      </c>
      <c r="P55" s="34">
        <f>+P61+P72</f>
        <v>-1848.9218639697999</v>
      </c>
      <c r="Q55" s="34">
        <f>+Q61+Q72</f>
        <v>-2099.0274704881385</v>
      </c>
      <c r="R55" s="34">
        <f>+R61+R72</f>
        <v>-2362.8888853649864</v>
      </c>
    </row>
    <row r="56" spans="2:18" x14ac:dyDescent="0.2">
      <c r="D56" s="35" t="s">
        <v>56</v>
      </c>
      <c r="E56" s="35"/>
      <c r="F56" s="35"/>
      <c r="G56" s="35"/>
      <c r="H56" s="35"/>
      <c r="I56" s="35"/>
      <c r="J56" s="43">
        <v>8401</v>
      </c>
      <c r="K56" s="43">
        <v>9560</v>
      </c>
      <c r="L56" s="43">
        <v>11416</v>
      </c>
      <c r="M56" s="43">
        <v>12778</v>
      </c>
      <c r="N56" s="36">
        <f>+N53+N54+N55</f>
        <v>13577.792087999998</v>
      </c>
      <c r="O56" s="36">
        <f>+O53+O54+O55</f>
        <v>14273.157836839997</v>
      </c>
      <c r="P56" s="36">
        <f>+P53+P54+P55</f>
        <v>14858.353797866197</v>
      </c>
      <c r="Q56" s="36">
        <f>+Q53+Q54+Q55</f>
        <v>15327.320632748837</v>
      </c>
      <c r="R56" s="36">
        <f>+R53+R54+R55</f>
        <v>15673.665739550024</v>
      </c>
    </row>
    <row r="57" spans="2:18" x14ac:dyDescent="0.2">
      <c r="D57" s="44" t="s">
        <v>57</v>
      </c>
      <c r="E57" s="44"/>
      <c r="F57" s="44"/>
      <c r="G57" s="44"/>
      <c r="H57" s="44"/>
      <c r="I57" s="44"/>
      <c r="J57" s="45">
        <v>1415</v>
      </c>
      <c r="K57" s="45">
        <v>1872</v>
      </c>
      <c r="L57" s="45">
        <v>2672</v>
      </c>
      <c r="M57" s="45">
        <v>2712</v>
      </c>
      <c r="N57" s="46">
        <f>+N21*N14</f>
        <v>2186.9390399999997</v>
      </c>
      <c r="O57" s="46">
        <f>+O21*O14</f>
        <v>2307.2206871999997</v>
      </c>
      <c r="P57" s="46">
        <f>+P21*P14</f>
        <v>2434.1178249959994</v>
      </c>
      <c r="Q57" s="46">
        <f>+Q21*Q14</f>
        <v>2567.9943053707793</v>
      </c>
      <c r="R57" s="46">
        <f>+R21*R14</f>
        <v>2709.2339921661719</v>
      </c>
    </row>
    <row r="59" spans="2:18" x14ac:dyDescent="0.2">
      <c r="D59" s="39" t="s">
        <v>58</v>
      </c>
    </row>
    <row r="60" spans="2:18" x14ac:dyDescent="0.2">
      <c r="D60" s="21" t="s">
        <v>59</v>
      </c>
      <c r="N60" s="34">
        <f>+M62</f>
        <v>12778</v>
      </c>
      <c r="O60" s="34">
        <f>+N62</f>
        <v>11500.2</v>
      </c>
      <c r="P60" s="34">
        <f>+O62</f>
        <v>10222.400000000001</v>
      </c>
      <c r="Q60" s="34">
        <f>+P62</f>
        <v>8944.6000000000022</v>
      </c>
      <c r="R60" s="34">
        <f>+Q62</f>
        <v>7666.800000000002</v>
      </c>
    </row>
    <row r="61" spans="2:18" x14ac:dyDescent="0.2">
      <c r="D61" s="21" t="s">
        <v>60</v>
      </c>
      <c r="N61" s="34">
        <f>-MIN(N60,$M$62/$E$64)</f>
        <v>-1277.8</v>
      </c>
      <c r="O61" s="34">
        <f>-MIN(O60,$M$62/$E$64)</f>
        <v>-1277.8</v>
      </c>
      <c r="P61" s="34">
        <f>-MIN(P60,$M$62/$E$64)</f>
        <v>-1277.8</v>
      </c>
      <c r="Q61" s="34">
        <f>-MIN(Q60,$M$62/$E$64)</f>
        <v>-1277.8</v>
      </c>
      <c r="R61" s="34">
        <f>-MIN(R60,$M$62/$E$64)</f>
        <v>-1277.8</v>
      </c>
    </row>
    <row r="62" spans="2:18" x14ac:dyDescent="0.2">
      <c r="D62" s="39" t="s">
        <v>61</v>
      </c>
      <c r="M62" s="40">
        <f>+M56</f>
        <v>12778</v>
      </c>
      <c r="N62" s="40">
        <f>+N60+N61</f>
        <v>11500.2</v>
      </c>
      <c r="O62" s="40">
        <f>+O60+O61</f>
        <v>10222.400000000001</v>
      </c>
      <c r="P62" s="40">
        <f>+P60+P61</f>
        <v>8944.6000000000022</v>
      </c>
      <c r="Q62" s="40">
        <f>+Q60+Q61</f>
        <v>7666.800000000002</v>
      </c>
      <c r="R62" s="40">
        <f>+R60+R61</f>
        <v>6389.0000000000018</v>
      </c>
    </row>
    <row r="64" spans="2:18" x14ac:dyDescent="0.2">
      <c r="D64" s="21" t="s">
        <v>62</v>
      </c>
      <c r="E64" s="47">
        <v>10</v>
      </c>
    </row>
    <row r="65" spans="2:22" x14ac:dyDescent="0.2">
      <c r="D65" s="21" t="s">
        <v>63</v>
      </c>
      <c r="E65" s="41">
        <v>0.5</v>
      </c>
    </row>
    <row r="66" spans="2:22" x14ac:dyDescent="0.2">
      <c r="G66" s="39" t="s">
        <v>64</v>
      </c>
      <c r="H66" s="48" t="s">
        <v>65</v>
      </c>
    </row>
    <row r="67" spans="2:22" x14ac:dyDescent="0.2">
      <c r="G67" s="49">
        <f>+N$20</f>
        <v>2026</v>
      </c>
      <c r="H67" s="29">
        <f>+N$57</f>
        <v>2186.9390399999997</v>
      </c>
      <c r="N67" s="34">
        <f>-(($H67/$E$64*$E$65))</f>
        <v>-109.34695199999999</v>
      </c>
      <c r="O67" s="34">
        <f>-(MIN(SUM($H67,$N67:N67),$H67/$E$64))</f>
        <v>-218.69390399999997</v>
      </c>
      <c r="P67" s="34">
        <f>-(MIN(SUM($H67,$N67:O67),$H67/$E$64))</f>
        <v>-218.69390399999997</v>
      </c>
      <c r="Q67" s="34">
        <f>-(MIN(SUM($H67,$N67:P67),$H67/$E$64))</f>
        <v>-218.69390399999997</v>
      </c>
      <c r="R67" s="34">
        <f>-(MIN(SUM($H67,$N67:Q67),$H67/$E$64))</f>
        <v>-218.69390399999997</v>
      </c>
    </row>
    <row r="68" spans="2:22" x14ac:dyDescent="0.2">
      <c r="G68" s="49">
        <f>+O$20</f>
        <v>2027</v>
      </c>
      <c r="H68" s="29">
        <f>+O$57</f>
        <v>2307.2206871999997</v>
      </c>
      <c r="N68" s="34">
        <v>0</v>
      </c>
      <c r="O68" s="34">
        <f>-(($H68/$E$64*$E$65))</f>
        <v>-115.36103435999999</v>
      </c>
      <c r="P68" s="34">
        <f>-(MIN(SUM($H68,$O68:O68),$H68/$E$64))</f>
        <v>-230.72206871999998</v>
      </c>
      <c r="Q68" s="34">
        <f>-(MIN(SUM($H68,$O68:P68),$H68/$E$64))</f>
        <v>-230.72206871999998</v>
      </c>
      <c r="R68" s="34">
        <f>-(MIN(SUM($H68,$O68:Q68),$H68/$E$64))</f>
        <v>-230.72206871999998</v>
      </c>
    </row>
    <row r="69" spans="2:22" x14ac:dyDescent="0.2">
      <c r="G69" s="49">
        <f>+P$20</f>
        <v>2028</v>
      </c>
      <c r="H69" s="29">
        <f>+P$57</f>
        <v>2434.1178249959994</v>
      </c>
      <c r="N69" s="34">
        <v>0</v>
      </c>
      <c r="O69" s="34">
        <v>0</v>
      </c>
      <c r="P69" s="34">
        <f>-(($H69/$E$64*$E$65))</f>
        <v>-121.70589124979998</v>
      </c>
      <c r="Q69" s="34">
        <f>-(MIN(SUM($H69,$P69:P69),$H69/$E$64))</f>
        <v>-243.41178249959995</v>
      </c>
      <c r="R69" s="34">
        <f>-(MIN(SUM($H69,$P69:Q69),$H69/$E$64))</f>
        <v>-243.41178249959995</v>
      </c>
    </row>
    <row r="70" spans="2:22" x14ac:dyDescent="0.2">
      <c r="G70" s="49">
        <f>+Q$20</f>
        <v>2029</v>
      </c>
      <c r="H70" s="29">
        <f>+Q$57</f>
        <v>2567.9943053707793</v>
      </c>
      <c r="N70" s="34">
        <v>0</v>
      </c>
      <c r="O70" s="34">
        <v>0</v>
      </c>
      <c r="P70" s="34">
        <v>0</v>
      </c>
      <c r="Q70" s="34">
        <f>-(($H70/$E$64*$E$65))</f>
        <v>-128.39971526853896</v>
      </c>
      <c r="R70" s="34">
        <f>-(MIN(SUM($H70,$Q70:Q70),$H70/$E$64))</f>
        <v>-256.79943053707791</v>
      </c>
    </row>
    <row r="71" spans="2:22" x14ac:dyDescent="0.2">
      <c r="G71" s="49">
        <f>+R$20</f>
        <v>2030</v>
      </c>
      <c r="H71" s="29">
        <f>+R$57</f>
        <v>2709.2339921661719</v>
      </c>
      <c r="N71" s="34">
        <v>0</v>
      </c>
      <c r="O71" s="34">
        <v>0</v>
      </c>
      <c r="P71" s="34">
        <v>0</v>
      </c>
      <c r="Q71" s="34">
        <v>0</v>
      </c>
      <c r="R71" s="34">
        <f>-(($H71/$E$64*$E$65))</f>
        <v>-135.46169960830861</v>
      </c>
    </row>
    <row r="72" spans="2:22" x14ac:dyDescent="0.2">
      <c r="G72" s="17" t="s">
        <v>66</v>
      </c>
      <c r="H72" s="17"/>
      <c r="I72" s="17"/>
      <c r="J72" s="17"/>
      <c r="K72" s="17"/>
      <c r="L72" s="17"/>
      <c r="M72" s="17"/>
      <c r="N72" s="27">
        <f>SUM(N67:N71)</f>
        <v>-109.34695199999999</v>
      </c>
      <c r="O72" s="27">
        <f>SUM(O67:O71)</f>
        <v>-334.05493835999994</v>
      </c>
      <c r="P72" s="27">
        <f>SUM(P67:P71)</f>
        <v>-571.12186396979996</v>
      </c>
      <c r="Q72" s="27">
        <f>SUM(Q67:Q71)</f>
        <v>-821.22747048813881</v>
      </c>
      <c r="R72" s="27">
        <f>SUM(R67:R71)</f>
        <v>-1085.0888853649865</v>
      </c>
    </row>
    <row r="75" spans="2:22" x14ac:dyDescent="0.2">
      <c r="B75" s="8">
        <v>5</v>
      </c>
      <c r="C75" s="11" t="s">
        <v>4</v>
      </c>
      <c r="D75" s="13" t="s">
        <v>67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7" spans="2:22" x14ac:dyDescent="0.2">
      <c r="D77" s="39" t="s">
        <v>68</v>
      </c>
    </row>
    <row r="78" spans="2:22" x14ac:dyDescent="0.2">
      <c r="D78" s="21" t="s">
        <v>69</v>
      </c>
      <c r="M78" s="1">
        <v>0</v>
      </c>
      <c r="N78" s="34">
        <f>+M81</f>
        <v>14149.5</v>
      </c>
      <c r="O78" s="34">
        <f>+N81</f>
        <v>12734.55</v>
      </c>
      <c r="P78" s="34">
        <f>+O81</f>
        <v>10612.125</v>
      </c>
      <c r="Q78" s="34">
        <f>+P81</f>
        <v>7782.2250000000004</v>
      </c>
      <c r="R78" s="34">
        <f>+Q81</f>
        <v>4244.8500000000004</v>
      </c>
    </row>
    <row r="79" spans="2:22" x14ac:dyDescent="0.2">
      <c r="D79" s="21" t="s">
        <v>70</v>
      </c>
      <c r="M79" s="29">
        <f>+E172</f>
        <v>14149.5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</row>
    <row r="80" spans="2:22" x14ac:dyDescent="0.2">
      <c r="D80" s="21" t="s">
        <v>71</v>
      </c>
      <c r="M80" s="1">
        <v>0</v>
      </c>
      <c r="N80" s="34">
        <f>-MIN(N78,$M$81*N$82)</f>
        <v>-1414.95</v>
      </c>
      <c r="O80" s="34">
        <f>-MIN(O78,$M$81*O$82)</f>
        <v>-2122.4249999999997</v>
      </c>
      <c r="P80" s="34">
        <f>-MIN(P78,$M$81*P$82)</f>
        <v>-2829.9</v>
      </c>
      <c r="Q80" s="34">
        <f>-MIN(Q78,$M$81*Q$82)</f>
        <v>-3537.375</v>
      </c>
      <c r="R80" s="34">
        <f>-MIN(R78,$M$81*R$82)</f>
        <v>-4244.8500000000004</v>
      </c>
      <c r="T80" s="50">
        <f>+SUM(N80:R80)+M81</f>
        <v>0</v>
      </c>
    </row>
    <row r="81" spans="4:20" x14ac:dyDescent="0.2">
      <c r="D81" s="17" t="s">
        <v>72</v>
      </c>
      <c r="E81" s="17"/>
      <c r="F81" s="17"/>
      <c r="G81" s="17"/>
      <c r="H81" s="17"/>
      <c r="I81" s="17"/>
      <c r="J81" s="17"/>
      <c r="K81" s="17"/>
      <c r="L81" s="17"/>
      <c r="M81" s="27">
        <f t="shared" ref="M81:R81" si="24">+SUM(M78:M80)</f>
        <v>14149.5</v>
      </c>
      <c r="N81" s="27">
        <f t="shared" si="24"/>
        <v>12734.55</v>
      </c>
      <c r="O81" s="27">
        <f t="shared" si="24"/>
        <v>10612.125</v>
      </c>
      <c r="P81" s="27">
        <f t="shared" si="24"/>
        <v>7782.2250000000004</v>
      </c>
      <c r="Q81" s="27">
        <f t="shared" si="24"/>
        <v>4244.8500000000004</v>
      </c>
      <c r="R81" s="27">
        <f t="shared" si="24"/>
        <v>0</v>
      </c>
    </row>
    <row r="82" spans="4:20" x14ac:dyDescent="0.2">
      <c r="D82" s="31" t="s">
        <v>73</v>
      </c>
      <c r="N82" s="51">
        <v>0.1</v>
      </c>
      <c r="O82" s="51">
        <v>0.15</v>
      </c>
      <c r="P82" s="51">
        <v>0.2</v>
      </c>
      <c r="Q82" s="51">
        <v>0.25</v>
      </c>
      <c r="R82" s="52">
        <f>1-SUM(N82:Q82)</f>
        <v>0.30000000000000004</v>
      </c>
      <c r="T82" s="32">
        <f>+SUM(N82:R82)-1</f>
        <v>0</v>
      </c>
    </row>
    <row r="83" spans="4:20" x14ac:dyDescent="0.2">
      <c r="D83" s="21" t="s">
        <v>74</v>
      </c>
      <c r="N83" s="34">
        <f>-$F$161*AVERAGE(N78,N81)</f>
        <v>-772.91643749999992</v>
      </c>
      <c r="O83" s="34">
        <f>-$F$161*AVERAGE(O78,O81)</f>
        <v>-671.21690624999997</v>
      </c>
      <c r="P83" s="34">
        <f>-$F$161*AVERAGE(P78,P81)</f>
        <v>-528.83756249999988</v>
      </c>
      <c r="Q83" s="34">
        <f>-$F$161*AVERAGE(Q78,Q81)</f>
        <v>-345.77840624999999</v>
      </c>
      <c r="R83" s="34">
        <f>-$F$161*AVERAGE(R78,R81)</f>
        <v>-122.03943750000001</v>
      </c>
    </row>
    <row r="85" spans="4:20" x14ac:dyDescent="0.2">
      <c r="D85" s="39" t="s">
        <v>75</v>
      </c>
    </row>
    <row r="86" spans="4:20" x14ac:dyDescent="0.2">
      <c r="D86" s="21" t="s">
        <v>76</v>
      </c>
      <c r="M86" s="1">
        <v>0</v>
      </c>
      <c r="N86" s="34">
        <f>+M91</f>
        <v>23582.5</v>
      </c>
      <c r="O86" s="34">
        <f>+N91</f>
        <v>22000.243183306</v>
      </c>
      <c r="P86" s="34">
        <f>+O91</f>
        <v>19743.311418973673</v>
      </c>
      <c r="Q86" s="34">
        <f>+P91</f>
        <v>17094.467383672687</v>
      </c>
      <c r="R86" s="34">
        <f>+Q91</f>
        <v>14149.420542056423</v>
      </c>
    </row>
    <row r="87" spans="4:20" x14ac:dyDescent="0.2">
      <c r="D87" s="21" t="s">
        <v>70</v>
      </c>
      <c r="M87" s="29">
        <f>+E173</f>
        <v>23582.5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</row>
    <row r="88" spans="4:20" x14ac:dyDescent="0.2">
      <c r="D88" s="21" t="s">
        <v>77</v>
      </c>
      <c r="M88" s="1">
        <v>0</v>
      </c>
      <c r="N88" s="34">
        <f>-MIN(N86,$M$91*N$92)</f>
        <v>-235.82500000000002</v>
      </c>
      <c r="O88" s="34">
        <f>-MIN(O86,$M$91*O$92)</f>
        <v>-235.82500000000002</v>
      </c>
      <c r="P88" s="34">
        <f>-MIN(P86,$M$91*P$92)</f>
        <v>-235.82500000000002</v>
      </c>
      <c r="Q88" s="34">
        <f>-MIN(Q86,$M$91*Q$92)</f>
        <v>-235.82500000000002</v>
      </c>
      <c r="R88" s="34">
        <f>-MIN(R86,$M$91*R$92)</f>
        <v>-235.82500000000002</v>
      </c>
    </row>
    <row r="89" spans="4:20" x14ac:dyDescent="0.2">
      <c r="D89" s="31" t="s">
        <v>78</v>
      </c>
      <c r="M89" s="1">
        <f>+M86+M87+M88</f>
        <v>23582.5</v>
      </c>
      <c r="N89" s="50">
        <f>+SUM(N86:N88)</f>
        <v>23346.674999999999</v>
      </c>
      <c r="O89" s="50">
        <f>+SUM(O86:O88)</f>
        <v>21764.418183305999</v>
      </c>
      <c r="P89" s="50">
        <f>+SUM(P86:P88)</f>
        <v>19507.486418973673</v>
      </c>
      <c r="Q89" s="50">
        <f>+SUM(Q86:Q88)</f>
        <v>16858.642383672686</v>
      </c>
      <c r="R89" s="50">
        <f>+SUM(R86:R88)</f>
        <v>13913.595542056422</v>
      </c>
    </row>
    <row r="90" spans="4:20" x14ac:dyDescent="0.2">
      <c r="D90" s="21" t="s">
        <v>79</v>
      </c>
      <c r="M90" s="1">
        <v>0</v>
      </c>
      <c r="N90" s="34">
        <f>-MIN(N89,MAX(0,N133+N134)*$F$164)</f>
        <v>-1346.4318166939986</v>
      </c>
      <c r="O90" s="34">
        <f>-MIN(O89,MAX(0,O133+O134)*$F$164)</f>
        <v>-2021.1067643323265</v>
      </c>
      <c r="P90" s="34">
        <f>-MIN(P89,MAX(0,P133+P134)*$F$164)</f>
        <v>-2413.0190353009839</v>
      </c>
      <c r="Q90" s="34">
        <f>-MIN(Q89,MAX(0,Q133+Q134)*$F$164)</f>
        <v>-2709.2218416162636</v>
      </c>
      <c r="R90" s="34">
        <f>-MIN(R89,MAX(0,R133+R134)*$F$164)</f>
        <v>-3001.8249130083386</v>
      </c>
    </row>
    <row r="91" spans="4:20" x14ac:dyDescent="0.2">
      <c r="D91" s="17" t="s">
        <v>80</v>
      </c>
      <c r="E91" s="17"/>
      <c r="F91" s="17"/>
      <c r="G91" s="17"/>
      <c r="H91" s="17"/>
      <c r="I91" s="17"/>
      <c r="J91" s="17"/>
      <c r="K91" s="17"/>
      <c r="L91" s="17"/>
      <c r="M91" s="27">
        <f t="shared" ref="M91:R91" si="25">+M89+M90</f>
        <v>23582.5</v>
      </c>
      <c r="N91" s="27">
        <f t="shared" si="25"/>
        <v>22000.243183306</v>
      </c>
      <c r="O91" s="27">
        <f t="shared" si="25"/>
        <v>19743.311418973673</v>
      </c>
      <c r="P91" s="27">
        <f t="shared" si="25"/>
        <v>17094.467383672687</v>
      </c>
      <c r="Q91" s="27">
        <f t="shared" si="25"/>
        <v>14149.420542056423</v>
      </c>
      <c r="R91" s="27">
        <f t="shared" si="25"/>
        <v>10911.770629048084</v>
      </c>
    </row>
    <row r="92" spans="4:20" x14ac:dyDescent="0.2">
      <c r="D92" s="31" t="s">
        <v>81</v>
      </c>
      <c r="N92" s="53">
        <f>+$F$163</f>
        <v>0.01</v>
      </c>
      <c r="O92" s="53">
        <f>+$F$163</f>
        <v>0.01</v>
      </c>
      <c r="P92" s="53">
        <f>+$F$163</f>
        <v>0.01</v>
      </c>
      <c r="Q92" s="53">
        <f>+$F$163</f>
        <v>0.01</v>
      </c>
      <c r="R92" s="53">
        <f>+$F$163</f>
        <v>0.01</v>
      </c>
    </row>
    <row r="93" spans="4:20" x14ac:dyDescent="0.2">
      <c r="D93" s="21" t="s">
        <v>82</v>
      </c>
      <c r="N93" s="34">
        <f>-$F$162*IF($F$168=1,AVERAGE(N86,N91),AVERAGE(N86,N89))</f>
        <v>-1642.5211250000002</v>
      </c>
      <c r="O93" s="34">
        <f>-$F$162*IF($F$168=1,AVERAGE(O86,O91),AVERAGE(O86,O89))</f>
        <v>-1531.7631478314199</v>
      </c>
      <c r="P93" s="34">
        <f>-$F$162*IF($F$168=1,AVERAGE(P86,P91),AVERAGE(P86,P89))</f>
        <v>-1373.7779243281573</v>
      </c>
      <c r="Q93" s="34">
        <f>-$F$162*IF($F$168=1,AVERAGE(Q86,Q91),AVERAGE(Q86,Q89))</f>
        <v>-1188.3588418570882</v>
      </c>
      <c r="R93" s="34">
        <f>-$F$162*IF($F$168=1,AVERAGE(R86,R91),AVERAGE(R86,R89))</f>
        <v>-982.20556294394964</v>
      </c>
    </row>
    <row r="95" spans="4:20" x14ac:dyDescent="0.2">
      <c r="D95" s="39" t="s">
        <v>83</v>
      </c>
    </row>
    <row r="96" spans="4:20" x14ac:dyDescent="0.2">
      <c r="D96" s="21" t="s">
        <v>84</v>
      </c>
      <c r="M96" s="1">
        <v>0</v>
      </c>
      <c r="N96" s="34">
        <f>+M98</f>
        <v>0</v>
      </c>
      <c r="O96" s="34">
        <f>+N98</f>
        <v>0</v>
      </c>
      <c r="P96" s="34">
        <f>+O98</f>
        <v>0</v>
      </c>
      <c r="Q96" s="34">
        <f>+P98</f>
        <v>0</v>
      </c>
      <c r="R96" s="34">
        <f>+Q98</f>
        <v>0</v>
      </c>
    </row>
    <row r="97" spans="4:18" x14ac:dyDescent="0.2">
      <c r="D97" s="21" t="s">
        <v>85</v>
      </c>
      <c r="M97" s="29">
        <f>+E174</f>
        <v>0</v>
      </c>
      <c r="N97" s="34">
        <f>+IF(N133&lt;0,MIN($F$165-N96,-N133),-MIN(N96,N133))</f>
        <v>0</v>
      </c>
      <c r="O97" s="34">
        <f>+IF(O133&lt;0,MIN($F$165-O96,-O133),-MIN(O96,O133))</f>
        <v>0</v>
      </c>
      <c r="P97" s="34">
        <f>+IF(P133&lt;0,MIN($F$165-P96,-P133),-MIN(P96,P133))</f>
        <v>0</v>
      </c>
      <c r="Q97" s="34">
        <f>+IF(Q133&lt;0,MIN($F$165-Q96,-Q133),-MIN(Q96,Q133))</f>
        <v>0</v>
      </c>
      <c r="R97" s="34">
        <f>+IF(R133&lt;0,MIN($F$165-R96,-R133),-MIN(R96,R133))</f>
        <v>0</v>
      </c>
    </row>
    <row r="98" spans="4:18" x14ac:dyDescent="0.2">
      <c r="D98" s="17" t="s">
        <v>86</v>
      </c>
      <c r="E98" s="17"/>
      <c r="F98" s="17"/>
      <c r="G98" s="17"/>
      <c r="H98" s="17"/>
      <c r="I98" s="17"/>
      <c r="J98" s="17"/>
      <c r="K98" s="17"/>
      <c r="L98" s="17"/>
      <c r="M98" s="27">
        <f t="shared" ref="M98:R98" si="26">+M96+M97</f>
        <v>0</v>
      </c>
      <c r="N98" s="27">
        <f t="shared" si="26"/>
        <v>0</v>
      </c>
      <c r="O98" s="27">
        <f t="shared" si="26"/>
        <v>0</v>
      </c>
      <c r="P98" s="27">
        <f t="shared" si="26"/>
        <v>0</v>
      </c>
      <c r="Q98" s="27">
        <f t="shared" si="26"/>
        <v>0</v>
      </c>
      <c r="R98" s="27">
        <f t="shared" si="26"/>
        <v>0</v>
      </c>
    </row>
    <row r="99" spans="4:18" x14ac:dyDescent="0.2">
      <c r="D99" s="31" t="s">
        <v>87</v>
      </c>
      <c r="M99" s="50">
        <f>+$F$165-M98</f>
        <v>3000</v>
      </c>
      <c r="N99" s="50">
        <f>+MAX(0,$F$165-N98)</f>
        <v>3000</v>
      </c>
      <c r="O99" s="50">
        <f>+MAX(0,$F$165-O98)</f>
        <v>3000</v>
      </c>
      <c r="P99" s="50">
        <f>+MAX(0,$F$165-P98)</f>
        <v>3000</v>
      </c>
      <c r="Q99" s="50">
        <f>+MAX(0,$F$165-Q98)</f>
        <v>3000</v>
      </c>
      <c r="R99" s="50">
        <f>+MAX(0,$F$165-R98)</f>
        <v>3000</v>
      </c>
    </row>
    <row r="100" spans="4:18" x14ac:dyDescent="0.2">
      <c r="D100" s="21" t="s">
        <v>88</v>
      </c>
      <c r="N100" s="34">
        <f>-(N96*$F$166+MAX(0,$F$165-N96)*$F$167)</f>
        <v>-10.5</v>
      </c>
      <c r="O100" s="34">
        <f>-(O96*$F$166+MAX(0,$F$165-O96)*$F$167)</f>
        <v>-10.5</v>
      </c>
      <c r="P100" s="34">
        <f>-(P96*$F$166+MAX(0,$F$165-P96)*$F$167)</f>
        <v>-10.5</v>
      </c>
      <c r="Q100" s="34">
        <f>-(Q96*$F$166+MAX(0,$F$165-Q96)*$F$167)</f>
        <v>-10.5</v>
      </c>
      <c r="R100" s="34">
        <f>-(R96*$F$166+MAX(0,$F$165-R96)*$F$167)</f>
        <v>-10.5</v>
      </c>
    </row>
    <row r="111" spans="4:18" x14ac:dyDescent="0.2">
      <c r="D111" s="39" t="s">
        <v>89</v>
      </c>
    </row>
    <row r="112" spans="4:18" x14ac:dyDescent="0.2">
      <c r="D112" s="21" t="s">
        <v>90</v>
      </c>
      <c r="M112" s="1">
        <v>0</v>
      </c>
      <c r="N112" s="34">
        <f>+N78+N86+N96</f>
        <v>37732</v>
      </c>
      <c r="O112" s="34">
        <f>+O78+O86+O96</f>
        <v>34734.793183305999</v>
      </c>
      <c r="P112" s="34">
        <f>+P78+P86+P96</f>
        <v>30355.436418973673</v>
      </c>
      <c r="Q112" s="34">
        <f>+Q78+Q86+Q96</f>
        <v>24876.692383672686</v>
      </c>
      <c r="R112" s="34">
        <f>+R78+R86+R96</f>
        <v>18394.270542056423</v>
      </c>
    </row>
    <row r="113" spans="2:22" x14ac:dyDescent="0.2">
      <c r="D113" s="21" t="s">
        <v>91</v>
      </c>
      <c r="M113" s="1">
        <f>+M79+M87+M97</f>
        <v>37732</v>
      </c>
      <c r="N113" s="34">
        <f>+N80+N88</f>
        <v>-1650.7750000000001</v>
      </c>
      <c r="O113" s="34">
        <f>+O80+O88</f>
        <v>-2358.2499999999995</v>
      </c>
      <c r="P113" s="34">
        <f>+P80+P88</f>
        <v>-3065.7249999999999</v>
      </c>
      <c r="Q113" s="34">
        <f>+Q80+Q88</f>
        <v>-3773.2</v>
      </c>
      <c r="R113" s="34">
        <f>+R80+R88</f>
        <v>-4480.6750000000002</v>
      </c>
    </row>
    <row r="114" spans="2:22" x14ac:dyDescent="0.2">
      <c r="D114" s="21" t="s">
        <v>92</v>
      </c>
      <c r="M114" s="1">
        <v>0</v>
      </c>
      <c r="N114" s="34">
        <f>+N90+N97</f>
        <v>-1346.4318166939986</v>
      </c>
      <c r="O114" s="34">
        <f>+O90+O97</f>
        <v>-2021.1067643323265</v>
      </c>
      <c r="P114" s="34">
        <f>+P90+P97</f>
        <v>-2413.0190353009839</v>
      </c>
      <c r="Q114" s="34">
        <f>+Q90+Q97</f>
        <v>-2709.2218416162636</v>
      </c>
      <c r="R114" s="34">
        <f>+R90+R97</f>
        <v>-3001.8249130083386</v>
      </c>
    </row>
    <row r="115" spans="2:22" x14ac:dyDescent="0.2">
      <c r="D115" s="35" t="s">
        <v>93</v>
      </c>
      <c r="E115" s="35"/>
      <c r="F115" s="35"/>
      <c r="G115" s="35"/>
      <c r="H115" s="35"/>
      <c r="I115" s="35"/>
      <c r="J115" s="35"/>
      <c r="K115" s="35"/>
      <c r="L115" s="35"/>
      <c r="M115" s="36">
        <f t="shared" ref="M115:R115" si="27">+M81+M91+M98</f>
        <v>37732</v>
      </c>
      <c r="N115" s="36">
        <f t="shared" si="27"/>
        <v>34734.793183305999</v>
      </c>
      <c r="O115" s="36">
        <f t="shared" si="27"/>
        <v>30355.436418973673</v>
      </c>
      <c r="P115" s="36">
        <f t="shared" si="27"/>
        <v>24876.692383672686</v>
      </c>
      <c r="Q115" s="36">
        <f t="shared" si="27"/>
        <v>18394.270542056423</v>
      </c>
      <c r="R115" s="36">
        <f t="shared" si="27"/>
        <v>10911.770629048084</v>
      </c>
    </row>
    <row r="116" spans="2:22" x14ac:dyDescent="0.2">
      <c r="D116" s="39" t="s">
        <v>94</v>
      </c>
      <c r="N116" s="40">
        <f>+N83+N93+N100</f>
        <v>-2425.9375625000002</v>
      </c>
      <c r="O116" s="40">
        <f>+O83+O93+O100</f>
        <v>-2213.4800540814199</v>
      </c>
      <c r="P116" s="40">
        <f>+P83+P93+P100</f>
        <v>-1913.1154868281571</v>
      </c>
      <c r="Q116" s="40">
        <f>+Q83+Q93+Q100</f>
        <v>-1544.6372481070882</v>
      </c>
      <c r="R116" s="40">
        <f>+R83+R93+R100</f>
        <v>-1114.7450004439497</v>
      </c>
    </row>
    <row r="117" spans="2:22" x14ac:dyDescent="0.2">
      <c r="D117" s="31" t="s">
        <v>95</v>
      </c>
      <c r="M117" s="54">
        <f t="shared" ref="M117:R117" si="28">+(M115-M140)/M29</f>
        <v>3.6819675606911906</v>
      </c>
      <c r="N117" s="54">
        <f t="shared" si="28"/>
        <v>2.995955877036558</v>
      </c>
      <c r="O117" s="54">
        <f t="shared" si="28"/>
        <v>2.3195131881149553</v>
      </c>
      <c r="P117" s="54">
        <f t="shared" si="28"/>
        <v>1.6561757344951333</v>
      </c>
      <c r="Q117" s="54">
        <f t="shared" si="28"/>
        <v>1.00388328519183</v>
      </c>
      <c r="R117" s="54">
        <f t="shared" si="28"/>
        <v>0.36163840899884536</v>
      </c>
    </row>
    <row r="121" spans="2:22" ht="13.95" customHeight="1" x14ac:dyDescent="0.2">
      <c r="B121" s="11" t="s">
        <v>4</v>
      </c>
      <c r="C121" s="13" t="s">
        <v>96</v>
      </c>
      <c r="D121" s="13"/>
      <c r="E121" s="13"/>
      <c r="F121" s="13"/>
      <c r="G121" s="13"/>
      <c r="H121" s="13"/>
      <c r="I121" s="13"/>
      <c r="J121" s="14" t="s">
        <v>11</v>
      </c>
      <c r="K121" s="14" t="s">
        <v>11</v>
      </c>
      <c r="L121" s="14" t="s">
        <v>11</v>
      </c>
      <c r="M121" s="14" t="s">
        <v>11</v>
      </c>
      <c r="N121" s="14" t="s">
        <v>11</v>
      </c>
      <c r="O121" s="14" t="s">
        <v>11</v>
      </c>
      <c r="P121" s="14" t="s">
        <v>11</v>
      </c>
      <c r="Q121" s="14" t="s">
        <v>11</v>
      </c>
      <c r="R121" s="14" t="s">
        <v>11</v>
      </c>
      <c r="S121" s="13"/>
      <c r="T121" s="13"/>
      <c r="U121" s="13"/>
      <c r="V121" s="13"/>
    </row>
    <row r="122" spans="2:22" ht="13.95" customHeight="1" x14ac:dyDescent="0.2">
      <c r="C122" s="13" t="s">
        <v>27</v>
      </c>
      <c r="D122" s="13"/>
      <c r="E122" s="13"/>
      <c r="F122" s="13"/>
      <c r="G122" s="13"/>
      <c r="H122" s="13"/>
      <c r="I122" s="13"/>
      <c r="J122" s="15">
        <f>+J20</f>
        <v>2022</v>
      </c>
      <c r="K122" s="15">
        <f t="shared" ref="K122:R122" si="29">+J122+1</f>
        <v>2023</v>
      </c>
      <c r="L122" s="15">
        <f t="shared" si="29"/>
        <v>2024</v>
      </c>
      <c r="M122" s="15">
        <f t="shared" si="29"/>
        <v>2025</v>
      </c>
      <c r="N122" s="16">
        <f t="shared" si="29"/>
        <v>2026</v>
      </c>
      <c r="O122" s="16">
        <f t="shared" si="29"/>
        <v>2027</v>
      </c>
      <c r="P122" s="16">
        <f t="shared" si="29"/>
        <v>2028</v>
      </c>
      <c r="Q122" s="16">
        <f t="shared" si="29"/>
        <v>2029</v>
      </c>
      <c r="R122" s="16">
        <f t="shared" si="29"/>
        <v>2030</v>
      </c>
      <c r="S122" s="13"/>
      <c r="T122" s="13"/>
      <c r="U122" s="13"/>
      <c r="V122" s="13"/>
    </row>
    <row r="124" spans="2:22" x14ac:dyDescent="0.2">
      <c r="D124" s="39" t="s">
        <v>97</v>
      </c>
      <c r="J124" s="40">
        <f t="shared" ref="J124:R124" si="30">+J29</f>
        <v>7028</v>
      </c>
      <c r="K124" s="40">
        <f t="shared" si="30"/>
        <v>8117</v>
      </c>
      <c r="L124" s="40">
        <f t="shared" si="30"/>
        <v>8926</v>
      </c>
      <c r="M124" s="40">
        <f t="shared" si="30"/>
        <v>9433</v>
      </c>
      <c r="N124" s="40">
        <f t="shared" si="30"/>
        <v>10143.127139999995</v>
      </c>
      <c r="O124" s="40">
        <f t="shared" si="30"/>
        <v>10922.261526449996</v>
      </c>
      <c r="P124" s="40">
        <f t="shared" si="30"/>
        <v>11752.178795389118</v>
      </c>
      <c r="Q124" s="40">
        <f t="shared" si="30"/>
        <v>12635.979588021728</v>
      </c>
      <c r="R124" s="40">
        <f t="shared" si="30"/>
        <v>13576.947563817597</v>
      </c>
    </row>
    <row r="125" spans="2:22" x14ac:dyDescent="0.2">
      <c r="D125" s="21" t="s">
        <v>98</v>
      </c>
      <c r="J125" s="1">
        <f t="shared" ref="J125:R125" si="31">+J35</f>
        <v>-1211</v>
      </c>
      <c r="K125" s="1">
        <f t="shared" si="31"/>
        <v>-1475</v>
      </c>
      <c r="L125" s="1">
        <f t="shared" si="31"/>
        <v>-1700</v>
      </c>
      <c r="M125" s="1">
        <f t="shared" si="31"/>
        <v>-1800</v>
      </c>
      <c r="N125" s="34">
        <f t="shared" si="31"/>
        <v>-1417.9295481119987</v>
      </c>
      <c r="O125" s="34">
        <f t="shared" si="31"/>
        <v>-1589.7115436179213</v>
      </c>
      <c r="P125" s="34">
        <f t="shared" si="31"/>
        <v>-1789.7916835884203</v>
      </c>
      <c r="Q125" s="34">
        <f t="shared" si="31"/>
        <v>-2014.2785307515364</v>
      </c>
      <c r="R125" s="34">
        <f t="shared" si="31"/>
        <v>-2262.2462638739398</v>
      </c>
    </row>
    <row r="126" spans="2:22" x14ac:dyDescent="0.2">
      <c r="D126" s="21" t="s">
        <v>99</v>
      </c>
      <c r="J126" s="1">
        <f t="shared" ref="J126:R126" si="32">+J48</f>
        <v>0</v>
      </c>
      <c r="K126" s="1">
        <f t="shared" si="32"/>
        <v>944</v>
      </c>
      <c r="L126" s="1">
        <f t="shared" si="32"/>
        <v>718</v>
      </c>
      <c r="M126" s="1">
        <f t="shared" si="32"/>
        <v>-9</v>
      </c>
      <c r="N126" s="34">
        <f t="shared" si="32"/>
        <v>231.31764400000066</v>
      </c>
      <c r="O126" s="34">
        <f t="shared" si="32"/>
        <v>242.18247041999894</v>
      </c>
      <c r="P126" s="34">
        <f t="shared" si="32"/>
        <v>255.50250629309994</v>
      </c>
      <c r="Q126" s="34">
        <f t="shared" si="32"/>
        <v>269.55514413921992</v>
      </c>
      <c r="R126" s="34">
        <f t="shared" si="32"/>
        <v>284.38067706687798</v>
      </c>
    </row>
    <row r="127" spans="2:22" x14ac:dyDescent="0.2">
      <c r="D127" s="21" t="s">
        <v>54</v>
      </c>
      <c r="J127" s="1">
        <f t="shared" ref="J127:R127" si="33">-J54</f>
        <v>-1415</v>
      </c>
      <c r="K127" s="1">
        <f t="shared" si="33"/>
        <v>-1872</v>
      </c>
      <c r="L127" s="1">
        <f t="shared" si="33"/>
        <v>-2672</v>
      </c>
      <c r="M127" s="1">
        <f t="shared" si="33"/>
        <v>-2712</v>
      </c>
      <c r="N127" s="34">
        <f t="shared" si="33"/>
        <v>-2186.9390399999997</v>
      </c>
      <c r="O127" s="34">
        <f t="shared" si="33"/>
        <v>-2307.2206871999997</v>
      </c>
      <c r="P127" s="34">
        <f t="shared" si="33"/>
        <v>-2434.1178249959994</v>
      </c>
      <c r="Q127" s="34">
        <f t="shared" si="33"/>
        <v>-2567.9943053707793</v>
      </c>
      <c r="R127" s="34">
        <f t="shared" si="33"/>
        <v>-2709.2339921661719</v>
      </c>
    </row>
    <row r="128" spans="2:22" x14ac:dyDescent="0.2">
      <c r="D128" s="17" t="s">
        <v>100</v>
      </c>
      <c r="E128" s="17"/>
      <c r="F128" s="17"/>
      <c r="G128" s="17"/>
      <c r="H128" s="17"/>
      <c r="I128" s="17"/>
      <c r="J128" s="27">
        <f t="shared" ref="J128:R128" si="34">+SUM(J124:J127)</f>
        <v>4402</v>
      </c>
      <c r="K128" s="27">
        <f t="shared" si="34"/>
        <v>5714</v>
      </c>
      <c r="L128" s="27">
        <f t="shared" si="34"/>
        <v>5272</v>
      </c>
      <c r="M128" s="27">
        <f t="shared" si="34"/>
        <v>4912</v>
      </c>
      <c r="N128" s="27">
        <f t="shared" si="34"/>
        <v>6769.5761958879975</v>
      </c>
      <c r="O128" s="27">
        <f t="shared" si="34"/>
        <v>7267.5117660520746</v>
      </c>
      <c r="P128" s="27">
        <f t="shared" si="34"/>
        <v>7783.7717930977979</v>
      </c>
      <c r="Q128" s="27">
        <f t="shared" si="34"/>
        <v>8323.2618960386317</v>
      </c>
      <c r="R128" s="27">
        <f t="shared" si="34"/>
        <v>8889.847984844364</v>
      </c>
    </row>
    <row r="130" spans="1:22" x14ac:dyDescent="0.2">
      <c r="D130" s="21" t="s">
        <v>101</v>
      </c>
      <c r="N130" s="34">
        <f>+N116</f>
        <v>-2425.9375625000002</v>
      </c>
      <c r="O130" s="34">
        <f>+O116</f>
        <v>-2213.4800540814199</v>
      </c>
      <c r="P130" s="34">
        <f>+P116</f>
        <v>-1913.1154868281571</v>
      </c>
      <c r="Q130" s="34">
        <f>+Q116</f>
        <v>-1544.6372481070882</v>
      </c>
      <c r="R130" s="34">
        <f>+R116</f>
        <v>-1114.7450004439497</v>
      </c>
    </row>
    <row r="131" spans="1:22" x14ac:dyDescent="0.2">
      <c r="D131" s="21" t="s">
        <v>102</v>
      </c>
      <c r="N131" s="34">
        <f>+N113</f>
        <v>-1650.7750000000001</v>
      </c>
      <c r="O131" s="34">
        <f>+O113</f>
        <v>-2358.2499999999995</v>
      </c>
      <c r="P131" s="34">
        <f>+P113</f>
        <v>-3065.7249999999999</v>
      </c>
      <c r="Q131" s="34">
        <f>+Q113</f>
        <v>-3773.2</v>
      </c>
      <c r="R131" s="34">
        <f>+R113</f>
        <v>-4480.6750000000002</v>
      </c>
    </row>
    <row r="132" spans="1:22" x14ac:dyDescent="0.2">
      <c r="D132" s="17" t="s">
        <v>103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27">
        <f>+N128+N130+N131</f>
        <v>2692.8636333879972</v>
      </c>
      <c r="O132" s="27">
        <f>+O128+O130+O131</f>
        <v>2695.7817119706547</v>
      </c>
      <c r="P132" s="27">
        <f>+P128+P130+P131</f>
        <v>2804.9313062696406</v>
      </c>
      <c r="Q132" s="27">
        <f>+Q128+Q130+Q131</f>
        <v>3005.4246479315434</v>
      </c>
      <c r="R132" s="27">
        <f>+R128+R130+R131</f>
        <v>3294.4279844004141</v>
      </c>
    </row>
    <row r="133" spans="1:22" x14ac:dyDescent="0.2">
      <c r="D133" s="31" t="s">
        <v>104</v>
      </c>
      <c r="N133" s="50">
        <f>+(N139-$F$155)+N132</f>
        <v>2692.8636333879972</v>
      </c>
      <c r="O133" s="50">
        <f>+(O139-$F$155)+O132</f>
        <v>4042.213528664653</v>
      </c>
      <c r="P133" s="50">
        <f>+(P139-$F$155)+P132</f>
        <v>4826.0380706019678</v>
      </c>
      <c r="Q133" s="50">
        <f>+(Q139-$F$155)+Q132</f>
        <v>5418.4436832325273</v>
      </c>
      <c r="R133" s="50">
        <f>+(R139-$F$155)+R132</f>
        <v>6003.6498260166773</v>
      </c>
    </row>
    <row r="134" spans="1:22" x14ac:dyDescent="0.2">
      <c r="D134" s="21" t="s">
        <v>85</v>
      </c>
      <c r="N134" s="34">
        <f>+N97</f>
        <v>0</v>
      </c>
      <c r="O134" s="34">
        <f>+O97</f>
        <v>0</v>
      </c>
      <c r="P134" s="34">
        <f>+P97</f>
        <v>0</v>
      </c>
      <c r="Q134" s="34">
        <f>+Q97</f>
        <v>0</v>
      </c>
      <c r="R134" s="34">
        <f>+R97</f>
        <v>0</v>
      </c>
    </row>
    <row r="135" spans="1:22" x14ac:dyDescent="0.2">
      <c r="D135" s="21" t="s">
        <v>105</v>
      </c>
      <c r="N135" s="34">
        <f>+N90</f>
        <v>-1346.4318166939986</v>
      </c>
      <c r="O135" s="34">
        <f>+O90</f>
        <v>-2021.1067643323265</v>
      </c>
      <c r="P135" s="34">
        <f>+P90</f>
        <v>-2413.0190353009839</v>
      </c>
      <c r="Q135" s="34">
        <f>+Q90</f>
        <v>-2709.2218416162636</v>
      </c>
      <c r="R135" s="34">
        <f>+R90</f>
        <v>-3001.8249130083386</v>
      </c>
    </row>
    <row r="136" spans="1:22" x14ac:dyDescent="0.2">
      <c r="D136" s="21" t="s">
        <v>106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</row>
    <row r="137" spans="1:22" x14ac:dyDescent="0.2">
      <c r="D137" s="17" t="s">
        <v>107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27">
        <f>+N132+SUM(N134:N136)</f>
        <v>1346.4318166939986</v>
      </c>
      <c r="O137" s="27">
        <f>+O132+SUM(O134:O136)</f>
        <v>674.67494763832815</v>
      </c>
      <c r="P137" s="27">
        <f>+P132+SUM(P134:P136)</f>
        <v>391.91227096865668</v>
      </c>
      <c r="Q137" s="27">
        <f>+Q132+SUM(Q134:Q136)</f>
        <v>296.20280631527976</v>
      </c>
      <c r="R137" s="27">
        <f>+R132+SUM(R134:R136)</f>
        <v>292.60307139207544</v>
      </c>
    </row>
    <row r="139" spans="1:22" x14ac:dyDescent="0.2">
      <c r="D139" s="21" t="s">
        <v>108</v>
      </c>
      <c r="M139" s="29">
        <f>+F155</f>
        <v>3000</v>
      </c>
      <c r="N139" s="34">
        <f>+M140</f>
        <v>3000</v>
      </c>
      <c r="O139" s="34">
        <f>+N140</f>
        <v>4346.4318166939984</v>
      </c>
      <c r="P139" s="34">
        <f>+O140</f>
        <v>5021.1067643323267</v>
      </c>
      <c r="Q139" s="34">
        <f>+P140</f>
        <v>5413.0190353009839</v>
      </c>
      <c r="R139" s="34">
        <f>+Q140</f>
        <v>5709.2218416162632</v>
      </c>
    </row>
    <row r="140" spans="1:22" x14ac:dyDescent="0.2">
      <c r="D140" s="35" t="s">
        <v>109</v>
      </c>
      <c r="E140" s="35"/>
      <c r="F140" s="35"/>
      <c r="G140" s="35"/>
      <c r="H140" s="35"/>
      <c r="I140" s="35"/>
      <c r="J140" s="35"/>
      <c r="K140" s="35"/>
      <c r="L140" s="35"/>
      <c r="M140" s="36">
        <f>+M139</f>
        <v>3000</v>
      </c>
      <c r="N140" s="36">
        <f>+N139+N137</f>
        <v>4346.4318166939984</v>
      </c>
      <c r="O140" s="36">
        <f>+O139+O137</f>
        <v>5021.1067643323267</v>
      </c>
      <c r="P140" s="36">
        <f>+P139+P137</f>
        <v>5413.0190353009839</v>
      </c>
      <c r="Q140" s="36">
        <f>+Q139+Q137</f>
        <v>5709.2218416162632</v>
      </c>
      <c r="R140" s="36">
        <f>+R139+R137</f>
        <v>6001.8249130083386</v>
      </c>
    </row>
    <row r="143" spans="1:22" ht="16.05" customHeight="1" x14ac:dyDescent="0.2">
      <c r="A143" s="11" t="s">
        <v>4</v>
      </c>
      <c r="B143" s="11" t="s">
        <v>4</v>
      </c>
      <c r="C143" s="12" t="s">
        <v>110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5" spans="2:22" x14ac:dyDescent="0.2">
      <c r="B145" s="11" t="s">
        <v>4</v>
      </c>
      <c r="C145" s="13" t="s">
        <v>111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2:22" x14ac:dyDescent="0.2">
      <c r="B146" s="8">
        <v>6</v>
      </c>
      <c r="D146" s="39" t="s">
        <v>112</v>
      </c>
      <c r="F146" s="55">
        <f>+M29</f>
        <v>9433</v>
      </c>
      <c r="H146" s="39" t="s">
        <v>113</v>
      </c>
      <c r="K146" s="55">
        <f>+F151-F156</f>
        <v>204948.06730000002</v>
      </c>
    </row>
    <row r="147" spans="2:22" x14ac:dyDescent="0.2">
      <c r="D147" s="21" t="s">
        <v>114</v>
      </c>
      <c r="F147" s="56">
        <v>55.42</v>
      </c>
      <c r="H147" s="39" t="s">
        <v>115</v>
      </c>
      <c r="K147" s="57">
        <f>+K146/F146</f>
        <v>21.726711258348352</v>
      </c>
    </row>
    <row r="148" spans="2:22" x14ac:dyDescent="0.2">
      <c r="D148" s="21" t="s">
        <v>116</v>
      </c>
      <c r="F148" s="58">
        <v>0.25</v>
      </c>
      <c r="H148" s="21" t="s">
        <v>117</v>
      </c>
      <c r="K148" s="59">
        <f>+K146/M26</f>
        <v>18.190118691754684</v>
      </c>
    </row>
    <row r="149" spans="2:22" x14ac:dyDescent="0.2">
      <c r="D149" s="39" t="s">
        <v>118</v>
      </c>
      <c r="F149" s="60">
        <f>+F147*(1+F148)</f>
        <v>69.275000000000006</v>
      </c>
      <c r="H149" s="39" t="s">
        <v>119</v>
      </c>
      <c r="K149" s="61">
        <v>2030</v>
      </c>
    </row>
    <row r="150" spans="2:22" x14ac:dyDescent="0.2">
      <c r="D150" s="21" t="s">
        <v>120</v>
      </c>
      <c r="F150" s="62">
        <v>3116.652</v>
      </c>
      <c r="H150" s="39" t="str">
        <f>"Exit multiple - Pre-IFRS 16 EBITDA "&amp;K149&amp;"E"</f>
        <v>Exit multiple - Pre-IFRS 16 EBITDA 2030E</v>
      </c>
      <c r="K150" s="63">
        <f>+K147</f>
        <v>21.726711258348352</v>
      </c>
    </row>
    <row r="151" spans="2:22" x14ac:dyDescent="0.2">
      <c r="D151" s="39" t="s">
        <v>121</v>
      </c>
      <c r="F151" s="55">
        <f>+F149*F150</f>
        <v>215906.06730000002</v>
      </c>
      <c r="H151" s="21" t="s">
        <v>122</v>
      </c>
      <c r="K151" s="22">
        <v>2.5000000000000001E-2</v>
      </c>
    </row>
    <row r="152" spans="2:22" x14ac:dyDescent="0.2">
      <c r="D152" s="21" t="s">
        <v>123</v>
      </c>
      <c r="F152" s="64">
        <v>0.64346999999999999</v>
      </c>
      <c r="H152" s="21" t="s">
        <v>124</v>
      </c>
      <c r="K152" s="22">
        <v>0.02</v>
      </c>
    </row>
    <row r="153" spans="2:22" x14ac:dyDescent="0.2">
      <c r="D153" s="39" t="s">
        <v>125</v>
      </c>
      <c r="F153" s="65">
        <f>1-F152</f>
        <v>0.35653000000000001</v>
      </c>
      <c r="H153" s="21" t="s">
        <v>126</v>
      </c>
      <c r="K153" s="22">
        <v>5.0000000000000001E-3</v>
      </c>
    </row>
    <row r="154" spans="2:22" x14ac:dyDescent="0.2">
      <c r="D154" s="39" t="s">
        <v>127</v>
      </c>
      <c r="F154" s="55">
        <f>+F151*F153</f>
        <v>76976.990174469014</v>
      </c>
      <c r="H154" s="39" t="s">
        <v>128</v>
      </c>
      <c r="K154" s="61">
        <v>1</v>
      </c>
    </row>
    <row r="155" spans="2:22" x14ac:dyDescent="0.2">
      <c r="D155" s="21" t="s">
        <v>129</v>
      </c>
      <c r="F155" s="62">
        <v>3000</v>
      </c>
    </row>
    <row r="156" spans="2:22" x14ac:dyDescent="0.2">
      <c r="D156" s="21" t="s">
        <v>130</v>
      </c>
      <c r="F156" s="62">
        <v>10958</v>
      </c>
    </row>
    <row r="158" spans="2:22" x14ac:dyDescent="0.2">
      <c r="D158" s="39" t="s">
        <v>131</v>
      </c>
      <c r="F158" s="48" t="s">
        <v>132</v>
      </c>
      <c r="G158" s="48" t="s">
        <v>133</v>
      </c>
      <c r="H158" s="48" t="s">
        <v>134</v>
      </c>
    </row>
    <row r="159" spans="2:22" x14ac:dyDescent="0.2">
      <c r="D159" s="39" t="s">
        <v>135</v>
      </c>
      <c r="F159" s="66">
        <f>+G161+G162</f>
        <v>4</v>
      </c>
    </row>
    <row r="160" spans="2:22" x14ac:dyDescent="0.2">
      <c r="D160" s="21" t="s">
        <v>136</v>
      </c>
      <c r="F160" s="67">
        <f>+(E172*F161+E173*F162)/(E172+E173)</f>
        <v>6.5312500000000009E-2</v>
      </c>
      <c r="G160" s="68">
        <v>0.03</v>
      </c>
    </row>
    <row r="161" spans="2:22" x14ac:dyDescent="0.2">
      <c r="D161" s="21" t="s">
        <v>137</v>
      </c>
      <c r="F161" s="67">
        <f>+$G$160+H161</f>
        <v>5.7499999999999996E-2</v>
      </c>
      <c r="G161" s="69">
        <v>1.5</v>
      </c>
      <c r="H161" s="68">
        <v>2.75E-2</v>
      </c>
    </row>
    <row r="162" spans="2:22" x14ac:dyDescent="0.2">
      <c r="D162" s="21" t="s">
        <v>138</v>
      </c>
      <c r="F162" s="67">
        <f>+$G$160+H162</f>
        <v>7.0000000000000007E-2</v>
      </c>
      <c r="G162" s="69">
        <v>2.5</v>
      </c>
      <c r="H162" s="68">
        <v>0.04</v>
      </c>
    </row>
    <row r="163" spans="2:22" x14ac:dyDescent="0.2">
      <c r="D163" s="21" t="s">
        <v>139</v>
      </c>
      <c r="F163" s="41">
        <v>0.01</v>
      </c>
    </row>
    <row r="164" spans="2:22" x14ac:dyDescent="0.2">
      <c r="D164" s="21" t="s">
        <v>140</v>
      </c>
      <c r="F164" s="41">
        <v>0.5</v>
      </c>
    </row>
    <row r="165" spans="2:22" x14ac:dyDescent="0.2">
      <c r="D165" s="21" t="s">
        <v>141</v>
      </c>
      <c r="F165" s="33">
        <v>3000</v>
      </c>
    </row>
    <row r="166" spans="2:22" x14ac:dyDescent="0.2">
      <c r="D166" s="21" t="s">
        <v>142</v>
      </c>
      <c r="F166" s="67">
        <f>+$G$160+H166</f>
        <v>5.5E-2</v>
      </c>
      <c r="H166" s="68">
        <v>2.5000000000000001E-2</v>
      </c>
    </row>
    <row r="167" spans="2:22" x14ac:dyDescent="0.2">
      <c r="D167" s="21" t="s">
        <v>143</v>
      </c>
      <c r="F167" s="68">
        <v>3.5000000000000001E-3</v>
      </c>
    </row>
    <row r="168" spans="2:22" x14ac:dyDescent="0.2">
      <c r="D168" s="31" t="s">
        <v>144</v>
      </c>
      <c r="F168" s="70">
        <v>0</v>
      </c>
    </row>
    <row r="170" spans="2:22" x14ac:dyDescent="0.2">
      <c r="B170" s="11" t="s">
        <v>4</v>
      </c>
      <c r="C170" s="13" t="s">
        <v>145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2:22" x14ac:dyDescent="0.2">
      <c r="D171" s="12" t="s">
        <v>146</v>
      </c>
      <c r="E171" s="71" t="s">
        <v>27</v>
      </c>
      <c r="F171" s="71" t="s">
        <v>147</v>
      </c>
    </row>
    <row r="172" spans="2:22" x14ac:dyDescent="0.2">
      <c r="D172" s="21" t="s">
        <v>148</v>
      </c>
      <c r="E172" s="34">
        <f>+G161*F146</f>
        <v>14149.5</v>
      </c>
      <c r="F172" s="30">
        <f t="shared" ref="F172:F177" si="35">+E172/$E$177</f>
        <v>0.17763244756022589</v>
      </c>
    </row>
    <row r="173" spans="2:22" x14ac:dyDescent="0.2">
      <c r="D173" s="21" t="s">
        <v>149</v>
      </c>
      <c r="E173" s="34">
        <f>+G162*F146</f>
        <v>23582.5</v>
      </c>
      <c r="F173" s="30">
        <f t="shared" si="35"/>
        <v>0.29605407926704319</v>
      </c>
    </row>
    <row r="174" spans="2:22" x14ac:dyDescent="0.2">
      <c r="D174" s="72" t="s">
        <v>150</v>
      </c>
      <c r="E174" s="33">
        <v>0</v>
      </c>
      <c r="F174" s="41">
        <f t="shared" si="35"/>
        <v>0</v>
      </c>
    </row>
    <row r="175" spans="2:22" x14ac:dyDescent="0.2">
      <c r="D175" s="21" t="s">
        <v>151</v>
      </c>
      <c r="E175" s="34">
        <f>+MAX(0,F156-F155)</f>
        <v>7958</v>
      </c>
      <c r="F175" s="30">
        <f t="shared" si="35"/>
        <v>9.9904520844148401E-2</v>
      </c>
    </row>
    <row r="176" spans="2:22" x14ac:dyDescent="0.2">
      <c r="D176" s="39" t="s">
        <v>152</v>
      </c>
      <c r="E176" s="40">
        <f>+E177-SUM(E172:E175)</f>
        <v>33966.054928830737</v>
      </c>
      <c r="F176" s="73">
        <f t="shared" si="35"/>
        <v>0.42640895232858256</v>
      </c>
    </row>
    <row r="177" spans="2:22" x14ac:dyDescent="0.2">
      <c r="D177" s="35" t="s">
        <v>153</v>
      </c>
      <c r="E177" s="36">
        <f>+E184</f>
        <v>79656.054928830737</v>
      </c>
      <c r="F177" s="37">
        <f t="shared" si="35"/>
        <v>1</v>
      </c>
    </row>
    <row r="179" spans="2:22" x14ac:dyDescent="0.2">
      <c r="D179" s="12" t="s">
        <v>154</v>
      </c>
      <c r="E179" s="71" t="s">
        <v>27</v>
      </c>
      <c r="F179" s="71" t="s">
        <v>147</v>
      </c>
    </row>
    <row r="180" spans="2:22" x14ac:dyDescent="0.2">
      <c r="D180" s="21" t="s">
        <v>155</v>
      </c>
      <c r="E180" s="34">
        <f>+F154</f>
        <v>76976.990174469014</v>
      </c>
      <c r="F180" s="30">
        <f>+E180/$E$184</f>
        <v>0.96636709215946792</v>
      </c>
    </row>
    <row r="181" spans="2:22" x14ac:dyDescent="0.2">
      <c r="D181" s="21" t="s">
        <v>156</v>
      </c>
      <c r="E181" s="33">
        <v>0</v>
      </c>
      <c r="F181" s="30">
        <f>+E181/$E$184</f>
        <v>0</v>
      </c>
    </row>
    <row r="182" spans="2:22" x14ac:dyDescent="0.2">
      <c r="D182" s="21" t="s">
        <v>124</v>
      </c>
      <c r="E182" s="34">
        <f>+SUM(E172:E174)*K152</f>
        <v>754.64</v>
      </c>
      <c r="F182" s="30">
        <f>+E182/$E$184</f>
        <v>9.4737305365453807E-3</v>
      </c>
    </row>
    <row r="183" spans="2:22" x14ac:dyDescent="0.2">
      <c r="D183" s="21" t="s">
        <v>157</v>
      </c>
      <c r="E183" s="34">
        <f>+E180*K151</f>
        <v>1924.4247543617255</v>
      </c>
      <c r="F183" s="30">
        <f>+E183/$E$184</f>
        <v>2.4159177303986701E-2</v>
      </c>
    </row>
    <row r="184" spans="2:22" x14ac:dyDescent="0.2">
      <c r="D184" s="35" t="s">
        <v>158</v>
      </c>
      <c r="E184" s="36">
        <f>+SUM(E180:E183)</f>
        <v>79656.054928830737</v>
      </c>
      <c r="F184" s="37">
        <f>+E184/$E$184</f>
        <v>1</v>
      </c>
    </row>
    <row r="186" spans="2:22" x14ac:dyDescent="0.2">
      <c r="D186" s="12" t="str">
        <f>CHOOSE($K$154,"Newco Ownership (1: Share-for-Share 64/36%)","Newco Ownership (2: Family @ No-Prem €55.42)","Newco Ownership (3: Family @ Offer €69.28)")</f>
        <v>Newco Ownership (1: Share-for-Share 64/36%)</v>
      </c>
      <c r="E186" s="71" t="s">
        <v>27</v>
      </c>
      <c r="F186" s="71" t="s">
        <v>159</v>
      </c>
    </row>
    <row r="187" spans="2:22" x14ac:dyDescent="0.2">
      <c r="D187" s="21" t="s">
        <v>160</v>
      </c>
      <c r="E187" s="34">
        <f>+CHOOSE($K$154,E188*(F152/F153),F147*F150*F152,F151*F152)</f>
        <v>61302.379505384437</v>
      </c>
      <c r="F187" s="67">
        <f>+CHOOSE($K$154,F152,E187/$E$189,E187/$E$189)</f>
        <v>0.64346999999999999</v>
      </c>
    </row>
    <row r="188" spans="2:22" x14ac:dyDescent="0.2">
      <c r="D188" s="21" t="s">
        <v>161</v>
      </c>
      <c r="E188" s="34">
        <f>+E176</f>
        <v>33966.054928830737</v>
      </c>
      <c r="F188" s="67">
        <f>+CHOOSE($K$154,F153,E188/$E$189,E188/$E$189)</f>
        <v>0.35653000000000001</v>
      </c>
    </row>
    <row r="189" spans="2:22" x14ac:dyDescent="0.2">
      <c r="D189" s="35" t="s">
        <v>162</v>
      </c>
      <c r="E189" s="36">
        <f>+SUM(E187:E188)</f>
        <v>95268.434434215174</v>
      </c>
      <c r="F189" s="74">
        <f>+SUM(F187:F188)</f>
        <v>1</v>
      </c>
    </row>
    <row r="192" spans="2:22" ht="13.95" customHeight="1" x14ac:dyDescent="0.2">
      <c r="B192" s="11" t="s">
        <v>4</v>
      </c>
      <c r="C192" s="13" t="s">
        <v>163</v>
      </c>
      <c r="D192" s="13"/>
      <c r="E192" s="13"/>
      <c r="F192" s="13"/>
      <c r="G192" s="13"/>
      <c r="H192" s="13"/>
      <c r="I192" s="13"/>
      <c r="J192" s="14" t="s">
        <v>11</v>
      </c>
      <c r="K192" s="14" t="s">
        <v>11</v>
      </c>
      <c r="L192" s="14" t="s">
        <v>11</v>
      </c>
      <c r="M192" s="14" t="s">
        <v>11</v>
      </c>
      <c r="N192" s="14" t="s">
        <v>11</v>
      </c>
      <c r="O192" s="14" t="s">
        <v>11</v>
      </c>
      <c r="P192" s="14" t="s">
        <v>11</v>
      </c>
      <c r="Q192" s="14" t="s">
        <v>11</v>
      </c>
      <c r="R192" s="14" t="s">
        <v>11</v>
      </c>
      <c r="S192" s="13"/>
      <c r="T192" s="13"/>
      <c r="U192" s="13"/>
      <c r="V192" s="13"/>
    </row>
    <row r="193" spans="2:22" ht="13.95" customHeight="1" x14ac:dyDescent="0.2">
      <c r="C193" s="13" t="s">
        <v>27</v>
      </c>
      <c r="D193" s="13"/>
      <c r="E193" s="13"/>
      <c r="F193" s="13"/>
      <c r="G193" s="13"/>
      <c r="H193" s="13"/>
      <c r="I193" s="13"/>
      <c r="J193" s="15">
        <f>+J20</f>
        <v>2022</v>
      </c>
      <c r="K193" s="15">
        <f t="shared" ref="K193:R193" si="36">+J193+1</f>
        <v>2023</v>
      </c>
      <c r="L193" s="15">
        <f t="shared" si="36"/>
        <v>2024</v>
      </c>
      <c r="M193" s="15">
        <f t="shared" si="36"/>
        <v>2025</v>
      </c>
      <c r="N193" s="16">
        <f t="shared" si="36"/>
        <v>2026</v>
      </c>
      <c r="O193" s="16">
        <f t="shared" si="36"/>
        <v>2027</v>
      </c>
      <c r="P193" s="16">
        <f t="shared" si="36"/>
        <v>2028</v>
      </c>
      <c r="Q193" s="16">
        <f t="shared" si="36"/>
        <v>2029</v>
      </c>
      <c r="R193" s="16">
        <f t="shared" si="36"/>
        <v>2030</v>
      </c>
      <c r="S193" s="13"/>
      <c r="T193" s="13"/>
      <c r="U193" s="13"/>
      <c r="V193" s="13"/>
    </row>
    <row r="195" spans="2:22" x14ac:dyDescent="0.2">
      <c r="B195" s="8">
        <v>7</v>
      </c>
      <c r="D195" s="21" t="s">
        <v>164</v>
      </c>
      <c r="N195" s="75">
        <f>+$K$150</f>
        <v>21.726711258348352</v>
      </c>
      <c r="O195" s="75">
        <f>+$K$150</f>
        <v>21.726711258348352</v>
      </c>
      <c r="P195" s="75">
        <f>+$K$150</f>
        <v>21.726711258348352</v>
      </c>
      <c r="Q195" s="75">
        <f>+$K$150</f>
        <v>21.726711258348352</v>
      </c>
      <c r="R195" s="75">
        <f>+$K$150</f>
        <v>21.726711258348352</v>
      </c>
    </row>
    <row r="196" spans="2:22" x14ac:dyDescent="0.2">
      <c r="D196" s="21" t="s">
        <v>97</v>
      </c>
      <c r="N196" s="34">
        <f>+N29</f>
        <v>10143.127139999995</v>
      </c>
      <c r="O196" s="34">
        <f>+O29</f>
        <v>10922.261526449996</v>
      </c>
      <c r="P196" s="34">
        <f>+P29</f>
        <v>11752.178795389118</v>
      </c>
      <c r="Q196" s="34">
        <f>+Q29</f>
        <v>12635.979588021728</v>
      </c>
      <c r="R196" s="34">
        <f>+R29</f>
        <v>13576.947563817597</v>
      </c>
    </row>
    <row r="197" spans="2:22" x14ac:dyDescent="0.2">
      <c r="D197" s="17" t="s">
        <v>165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27">
        <f>+N196*N195</f>
        <v>220376.79462749662</v>
      </c>
      <c r="O197" s="27">
        <f>+O196*O195</f>
        <v>237304.8224733462</v>
      </c>
      <c r="P197" s="27">
        <f>+P196*P195</f>
        <v>255336.19534390353</v>
      </c>
      <c r="Q197" s="27">
        <f>+Q196*Q195</f>
        <v>274538.27997533168</v>
      </c>
      <c r="R197" s="27">
        <f>+R196*R195</f>
        <v>294982.41948880104</v>
      </c>
    </row>
    <row r="198" spans="2:22" x14ac:dyDescent="0.2">
      <c r="D198" s="21" t="s">
        <v>166</v>
      </c>
      <c r="N198" s="34">
        <f>-N115</f>
        <v>-34734.793183305999</v>
      </c>
      <c r="O198" s="34">
        <f>-O115</f>
        <v>-30355.436418973673</v>
      </c>
      <c r="P198" s="34">
        <f>-P115</f>
        <v>-24876.692383672686</v>
      </c>
      <c r="Q198" s="34">
        <f>-Q115</f>
        <v>-18394.270542056423</v>
      </c>
      <c r="R198" s="34">
        <f>-R115</f>
        <v>-10911.770629048084</v>
      </c>
    </row>
    <row r="199" spans="2:22" x14ac:dyDescent="0.2">
      <c r="D199" s="21" t="s">
        <v>167</v>
      </c>
      <c r="N199" s="34">
        <f>+N140</f>
        <v>4346.4318166939984</v>
      </c>
      <c r="O199" s="34">
        <f>+O140</f>
        <v>5021.1067643323267</v>
      </c>
      <c r="P199" s="34">
        <f>+P140</f>
        <v>5413.0190353009839</v>
      </c>
      <c r="Q199" s="34">
        <f>+Q140</f>
        <v>5709.2218416162632</v>
      </c>
      <c r="R199" s="34">
        <f>+R140</f>
        <v>6001.8249130083386</v>
      </c>
    </row>
    <row r="200" spans="2:22" x14ac:dyDescent="0.2">
      <c r="D200" s="21" t="s">
        <v>106</v>
      </c>
      <c r="N200" s="34">
        <f>-N136</f>
        <v>0</v>
      </c>
      <c r="O200" s="34">
        <f>-O136</f>
        <v>0</v>
      </c>
      <c r="P200" s="34">
        <f>-P136</f>
        <v>0</v>
      </c>
      <c r="Q200" s="34">
        <f>-Q136</f>
        <v>0</v>
      </c>
      <c r="R200" s="34">
        <f>-R136</f>
        <v>0</v>
      </c>
    </row>
    <row r="201" spans="2:22" x14ac:dyDescent="0.2">
      <c r="D201" s="21" t="s">
        <v>168</v>
      </c>
      <c r="N201" s="34">
        <f>-$K$153*N197</f>
        <v>-1101.8839731374831</v>
      </c>
      <c r="O201" s="34">
        <f>-$K$153*O197</f>
        <v>-1186.5241123667311</v>
      </c>
      <c r="P201" s="34">
        <f>-$K$153*P197</f>
        <v>-1276.6809767195177</v>
      </c>
      <c r="Q201" s="34">
        <f>-$K$153*Q197</f>
        <v>-1372.6913998766584</v>
      </c>
      <c r="R201" s="34">
        <f>-$K$153*R197</f>
        <v>-1474.9120974440052</v>
      </c>
    </row>
    <row r="202" spans="2:22" x14ac:dyDescent="0.2">
      <c r="D202" s="35" t="s">
        <v>169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6">
        <f>+SUM(N197:N201)</f>
        <v>188886.54928774716</v>
      </c>
      <c r="O202" s="36">
        <f>+SUM(O197:O201)</f>
        <v>210783.96870633814</v>
      </c>
      <c r="P202" s="36">
        <f>+SUM(P197:P201)</f>
        <v>234595.84101881232</v>
      </c>
      <c r="Q202" s="36">
        <f>+SUM(Q197:Q201)</f>
        <v>260480.53987501486</v>
      </c>
      <c r="R202" s="36">
        <f>+SUM(R197:R201)</f>
        <v>288597.56167531729</v>
      </c>
    </row>
    <row r="204" spans="2:22" x14ac:dyDescent="0.2">
      <c r="D204" s="21" t="s">
        <v>170</v>
      </c>
      <c r="N204" s="34">
        <f>+N202*$F$187</f>
        <v>121542.82787018667</v>
      </c>
      <c r="O204" s="34">
        <f>+O202*$F$187</f>
        <v>135633.1603434674</v>
      </c>
      <c r="P204" s="34">
        <f>+P202*$F$187</f>
        <v>150955.38582037517</v>
      </c>
      <c r="Q204" s="34">
        <f>+Q202*$F$187</f>
        <v>167611.41299337579</v>
      </c>
      <c r="R204" s="34">
        <f>+R202*$F$187</f>
        <v>185703.8730112164</v>
      </c>
    </row>
    <row r="205" spans="2:22" x14ac:dyDescent="0.2">
      <c r="D205" s="39" t="s">
        <v>171</v>
      </c>
      <c r="N205" s="40">
        <f>+N202*$F$188</f>
        <v>67343.721417560489</v>
      </c>
      <c r="O205" s="40">
        <f>+O202*$F$188</f>
        <v>75150.808362870739</v>
      </c>
      <c r="P205" s="40">
        <f>+P202*$F$188</f>
        <v>83640.455198437165</v>
      </c>
      <c r="Q205" s="40">
        <f>+Q202*$F$188</f>
        <v>92869.126881639051</v>
      </c>
      <c r="R205" s="40">
        <f>+R202*$F$188</f>
        <v>102893.68866410088</v>
      </c>
    </row>
    <row r="207" spans="2:22" x14ac:dyDescent="0.2">
      <c r="D207" s="39" t="s">
        <v>172</v>
      </c>
    </row>
    <row r="209" spans="2:22" x14ac:dyDescent="0.2">
      <c r="D209" s="76" t="s">
        <v>173</v>
      </c>
      <c r="E209" s="76"/>
      <c r="F209" s="77">
        <f>+INDEX(U215:U219,MATCH($K$149,D215:D219,0))</f>
        <v>0.24800407290458676</v>
      </c>
      <c r="N209" s="73">
        <f>+U215</f>
        <v>0.982677161693573</v>
      </c>
      <c r="O209" s="73">
        <f>+U216</f>
        <v>0.48745650649070738</v>
      </c>
      <c r="P209" s="73">
        <f>+U217</f>
        <v>0.35001334547996521</v>
      </c>
      <c r="Q209" s="73">
        <f>+U218</f>
        <v>0.28567683100700392</v>
      </c>
      <c r="R209" s="73">
        <f>+U219</f>
        <v>0.24800407290458676</v>
      </c>
    </row>
    <row r="210" spans="2:22" x14ac:dyDescent="0.2">
      <c r="D210" s="76" t="s">
        <v>174</v>
      </c>
      <c r="E210" s="76"/>
      <c r="F210" s="78">
        <f>+INDEX(V215:V219,MATCH($K$149,D215:D219,0))</f>
        <v>3.0293093760725109</v>
      </c>
      <c r="N210" s="66">
        <f>+V215</f>
        <v>1.9826771627928579</v>
      </c>
      <c r="O210" s="66">
        <f>+V216</f>
        <v>2.212526845414772</v>
      </c>
      <c r="P210" s="66">
        <f>+V217</f>
        <v>2.462471881815226</v>
      </c>
      <c r="Q210" s="66">
        <f>+V218</f>
        <v>2.7341746657428496</v>
      </c>
      <c r="R210" s="66">
        <f>+V219</f>
        <v>3.0293093760725109</v>
      </c>
    </row>
    <row r="212" spans="2:22" x14ac:dyDescent="0.2">
      <c r="M212" s="79">
        <f t="shared" ref="M212:R212" si="37">+DATE(M214+1,1,31)</f>
        <v>46053</v>
      </c>
      <c r="N212" s="79">
        <f t="shared" si="37"/>
        <v>46418</v>
      </c>
      <c r="O212" s="79">
        <f t="shared" si="37"/>
        <v>46783</v>
      </c>
      <c r="P212" s="79">
        <f t="shared" si="37"/>
        <v>47149</v>
      </c>
      <c r="Q212" s="79">
        <f t="shared" si="37"/>
        <v>47514</v>
      </c>
      <c r="R212" s="79">
        <f t="shared" si="37"/>
        <v>47879</v>
      </c>
    </row>
    <row r="213" spans="2:22" x14ac:dyDescent="0.2">
      <c r="D213" s="13" t="s">
        <v>175</v>
      </c>
      <c r="E213" s="13"/>
      <c r="F213" s="13"/>
      <c r="G213" s="13"/>
      <c r="H213" s="13"/>
      <c r="I213" s="13"/>
      <c r="J213" s="13"/>
      <c r="K213" s="13"/>
      <c r="L213" s="13"/>
      <c r="M213" s="14" t="s">
        <v>11</v>
      </c>
      <c r="N213" s="14" t="s">
        <v>11</v>
      </c>
      <c r="O213" s="14" t="s">
        <v>11</v>
      </c>
      <c r="P213" s="14" t="s">
        <v>11</v>
      </c>
      <c r="Q213" s="14" t="s">
        <v>11</v>
      </c>
      <c r="R213" s="14" t="s">
        <v>11</v>
      </c>
      <c r="S213" s="13"/>
      <c r="T213" s="13"/>
      <c r="U213" s="13"/>
      <c r="V213" s="13"/>
    </row>
    <row r="214" spans="2:22" x14ac:dyDescent="0.2">
      <c r="D214" s="13" t="s">
        <v>176</v>
      </c>
      <c r="E214" s="13"/>
      <c r="F214" s="13"/>
      <c r="G214" s="13"/>
      <c r="H214" s="13"/>
      <c r="I214" s="13"/>
      <c r="J214" s="13"/>
      <c r="K214" s="13"/>
      <c r="L214" s="13"/>
      <c r="M214" s="15">
        <v>2025</v>
      </c>
      <c r="N214" s="16">
        <f>+M214+1</f>
        <v>2026</v>
      </c>
      <c r="O214" s="16">
        <f>+N214+1</f>
        <v>2027</v>
      </c>
      <c r="P214" s="16">
        <f>+O214+1</f>
        <v>2028</v>
      </c>
      <c r="Q214" s="16">
        <f>+P214+1</f>
        <v>2029</v>
      </c>
      <c r="R214" s="16">
        <f>+Q214+1</f>
        <v>2030</v>
      </c>
      <c r="S214" s="13"/>
      <c r="T214" s="13"/>
      <c r="U214" s="80" t="s">
        <v>177</v>
      </c>
      <c r="V214" s="80" t="s">
        <v>178</v>
      </c>
    </row>
    <row r="215" spans="2:22" x14ac:dyDescent="0.2">
      <c r="D215" s="81">
        <f>+N214</f>
        <v>2026</v>
      </c>
      <c r="M215" s="34">
        <f>-$E$176</f>
        <v>-33966.054928830737</v>
      </c>
      <c r="N215" s="34">
        <f>+(IF($D215=N$214,N$202,0)+N$200)*$F$188</f>
        <v>67343.721417560489</v>
      </c>
      <c r="O215" s="34">
        <v>0</v>
      </c>
      <c r="P215" s="34">
        <v>0</v>
      </c>
      <c r="Q215" s="34">
        <v>0</v>
      </c>
      <c r="R215" s="34">
        <v>0</v>
      </c>
      <c r="U215" s="73">
        <f>+IFERROR(XIRR(M215:N215,$M$212:$N$212),0)</f>
        <v>0.982677161693573</v>
      </c>
      <c r="V215" s="66">
        <f>-SUM(N215:N215)/M215</f>
        <v>1.9826771627928579</v>
      </c>
    </row>
    <row r="216" spans="2:22" x14ac:dyDescent="0.2">
      <c r="D216" s="81">
        <f>+O214</f>
        <v>2027</v>
      </c>
      <c r="M216" s="34">
        <f>-$E$176</f>
        <v>-33966.054928830737</v>
      </c>
      <c r="N216" s="34">
        <f>+(IF($D216=N$214,N$202,0)+N$200)*$F$188</f>
        <v>0</v>
      </c>
      <c r="O216" s="34">
        <f>+(IF($D216=O$214,O$202,0)+O$200)*$F$188</f>
        <v>75150.808362870739</v>
      </c>
      <c r="P216" s="34">
        <v>0</v>
      </c>
      <c r="Q216" s="34">
        <v>0</v>
      </c>
      <c r="R216" s="34">
        <v>0</v>
      </c>
      <c r="U216" s="73">
        <f>+IFERROR(XIRR(M216:O216,$M$212:$O$212),0)</f>
        <v>0.48745650649070738</v>
      </c>
      <c r="V216" s="66">
        <f>-SUM(N216:O216)/M216</f>
        <v>2.212526845414772</v>
      </c>
    </row>
    <row r="217" spans="2:22" x14ac:dyDescent="0.2">
      <c r="D217" s="81">
        <f>+P214</f>
        <v>2028</v>
      </c>
      <c r="M217" s="34">
        <f>-$E$176</f>
        <v>-33966.054928830737</v>
      </c>
      <c r="N217" s="34">
        <f>+(IF($D217=N$214,N$202,0)+N$200)*$F$188</f>
        <v>0</v>
      </c>
      <c r="O217" s="34">
        <f>+(IF($D217=O$214,O$202,0)+O$200)*$F$188</f>
        <v>0</v>
      </c>
      <c r="P217" s="34">
        <f>+(IF($D217=P$214,P$202,0)+P$200)*$F$188</f>
        <v>83640.455198437165</v>
      </c>
      <c r="Q217" s="34">
        <v>0</v>
      </c>
      <c r="R217" s="34">
        <v>0</v>
      </c>
      <c r="U217" s="73">
        <f>+IFERROR(XIRR(M217:P217,$M$212:$P$212),0)</f>
        <v>0.35001334547996521</v>
      </c>
      <c r="V217" s="66">
        <f>-SUM(N217:P217)/M217</f>
        <v>2.462471881815226</v>
      </c>
    </row>
    <row r="218" spans="2:22" x14ac:dyDescent="0.2">
      <c r="D218" s="81">
        <f>+Q214</f>
        <v>2029</v>
      </c>
      <c r="M218" s="34">
        <f>-$E$176</f>
        <v>-33966.054928830737</v>
      </c>
      <c r="N218" s="34">
        <f>+(IF($D218=N$214,N$202,0)+N$200)*$F$188</f>
        <v>0</v>
      </c>
      <c r="O218" s="34">
        <f>+(IF($D218=O$214,O$202,0)+O$200)*$F$188</f>
        <v>0</v>
      </c>
      <c r="P218" s="34">
        <f>+(IF($D218=P$214,P$202,0)+P$200)*$F$188</f>
        <v>0</v>
      </c>
      <c r="Q218" s="34">
        <f>+(IF($D218=Q$214,Q$202,0)+Q$200)*$F$188</f>
        <v>92869.126881639051</v>
      </c>
      <c r="R218" s="34">
        <v>0</v>
      </c>
      <c r="U218" s="73">
        <f>+IFERROR(XIRR(M218:Q218,$M$212:$Q$212),0)</f>
        <v>0.28567683100700392</v>
      </c>
      <c r="V218" s="66">
        <f>-SUM(N218:Q218)/M218</f>
        <v>2.7341746657428496</v>
      </c>
    </row>
    <row r="219" spans="2:22" x14ac:dyDescent="0.2">
      <c r="D219" s="81">
        <f>+R214</f>
        <v>2030</v>
      </c>
      <c r="M219" s="34">
        <f>-$E$176</f>
        <v>-33966.054928830737</v>
      </c>
      <c r="N219" s="34">
        <f>+(IF($D219=N$214,N$202,0)+N$200)*$F$188</f>
        <v>0</v>
      </c>
      <c r="O219" s="34">
        <f>+(IF($D219=O$214,O$202,0)+O$200)*$F$188</f>
        <v>0</v>
      </c>
      <c r="P219" s="34">
        <f>+(IF($D219=P$214,P$202,0)+P$200)*$F$188</f>
        <v>0</v>
      </c>
      <c r="Q219" s="34">
        <f>+(IF($D219=Q$214,Q$202,0)+Q$200)*$F$188</f>
        <v>0</v>
      </c>
      <c r="R219" s="34">
        <f>+(IF($D219=R$214,R$202,0)+R$200)*$F$188</f>
        <v>102893.68866410088</v>
      </c>
      <c r="U219" s="73">
        <f>+IFERROR(XIRR(M219:R219,$M$212:$R$212),0)</f>
        <v>0.24800407290458676</v>
      </c>
      <c r="V219" s="66">
        <f>-SUM(N219:R219)/M219</f>
        <v>3.0293093760725109</v>
      </c>
    </row>
    <row r="221" spans="2:22" x14ac:dyDescent="0.2">
      <c r="D221" s="35" t="str">
        <f>"Active Exit @ "&amp;K149&amp;"E"</f>
        <v>Active Exit @ 2030E</v>
      </c>
      <c r="E221" s="35"/>
      <c r="F221" s="35"/>
      <c r="G221" s="35"/>
      <c r="H221" s="35"/>
      <c r="I221" s="35"/>
      <c r="J221" s="35"/>
      <c r="K221" s="35"/>
      <c r="L221" s="35"/>
      <c r="M221" s="36">
        <f t="shared" ref="M221:R221" si="38">+INDEX(M215:M219,MATCH($K$149,$D$215:$D$219,0))</f>
        <v>-33966.054928830737</v>
      </c>
      <c r="N221" s="36">
        <f t="shared" si="38"/>
        <v>0</v>
      </c>
      <c r="O221" s="36">
        <f t="shared" si="38"/>
        <v>0</v>
      </c>
      <c r="P221" s="36">
        <f t="shared" si="38"/>
        <v>0</v>
      </c>
      <c r="Q221" s="36">
        <f t="shared" si="38"/>
        <v>0</v>
      </c>
      <c r="R221" s="36">
        <f t="shared" si="38"/>
        <v>102893.68866410088</v>
      </c>
      <c r="S221" s="35"/>
      <c r="T221" s="35"/>
      <c r="U221" s="37">
        <f>+F209</f>
        <v>0.24800407290458676</v>
      </c>
      <c r="V221" s="82">
        <f>+F210</f>
        <v>3.0293093760725109</v>
      </c>
    </row>
    <row r="224" spans="2:22" x14ac:dyDescent="0.2">
      <c r="B224" s="11" t="s">
        <v>4</v>
      </c>
      <c r="C224" s="13" t="s">
        <v>179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6" spans="4:18" x14ac:dyDescent="0.2">
      <c r="D226" s="39" t="s">
        <v>180</v>
      </c>
      <c r="J226" s="39" t="s">
        <v>181</v>
      </c>
      <c r="N226" s="12" t="s">
        <v>182</v>
      </c>
      <c r="O226" s="12"/>
      <c r="P226" s="12"/>
      <c r="Q226" s="71" t="s">
        <v>183</v>
      </c>
      <c r="R226" s="83" t="s">
        <v>184</v>
      </c>
    </row>
    <row r="227" spans="4:18" x14ac:dyDescent="0.2">
      <c r="D227" s="12" t="s">
        <v>185</v>
      </c>
      <c r="E227" s="84">
        <v>3</v>
      </c>
      <c r="F227" s="84">
        <v>4</v>
      </c>
      <c r="G227" s="84">
        <v>5</v>
      </c>
      <c r="J227" s="71" t="s">
        <v>186</v>
      </c>
      <c r="K227" s="71" t="s">
        <v>187</v>
      </c>
      <c r="L227" s="71" t="s">
        <v>188</v>
      </c>
      <c r="N227" s="21" t="s">
        <v>189</v>
      </c>
      <c r="Q227" s="34">
        <f>+E177-E184</f>
        <v>0</v>
      </c>
      <c r="R227" s="85" t="str">
        <f>IF(ABS(Q227)&lt;0.01,"OK","CHECK")</f>
        <v>OK</v>
      </c>
    </row>
    <row r="228" spans="4:18" x14ac:dyDescent="0.2">
      <c r="D228" s="86">
        <v>0.15</v>
      </c>
      <c r="E228" s="87">
        <f t="shared" ref="E228:G230" si="39">+(J228)^(365/($R$212-$M$212))-1</f>
        <v>0.23740923545377934</v>
      </c>
      <c r="F228" s="87">
        <f t="shared" si="39"/>
        <v>0.3003607068663372</v>
      </c>
      <c r="G228" s="87">
        <f t="shared" si="39"/>
        <v>0.39879981863925984</v>
      </c>
      <c r="J228" s="88">
        <f t="shared" ref="J228:L230" si="40">+(($R$202-((E$227-$F$159)*$F$146)*(1+5*$F$160*(1-$F$35)))*CHOOSE($K$154,$F$153,(($F$147*(1+$D228)*$F$150*$F$153)*(1+$K$151)+(E$227*$F$146)*$K$152-(E$227*$F$146)-$E$175)/((($F$147*(1+$D228)*$F$150*$F$153)*(1+$K$151)+(E$227*$F$146)*$K$152-(E$227*$F$146)-$E$175)+($F$147*$F$150*$F$152)),(($F$147*(1+$D228)*$F$150*$F$153)*(1+$K$151)+(E$227*$F$146)*$K$152-(E$227*$F$146)-$E$175)/((($F$147*(1+$D228)*$F$150*$F$153)*(1+$K$151)+(E$227*$F$146)*$K$152-(E$227*$F$146)-$E$175)+($F$147*(1+$D228)*$F$150*$F$152))))/(($F$147*(1+$D228)*$F$150*$F$153)*(1+$K$151)+(E$227*$F$146)*$K$152-(E$227*$F$146)-$E$175)</f>
        <v>2.9028208017391983</v>
      </c>
      <c r="K228" s="88">
        <f t="shared" si="40"/>
        <v>3.7207603043310242</v>
      </c>
      <c r="L228" s="88">
        <f t="shared" si="40"/>
        <v>5.3601527607050814</v>
      </c>
      <c r="N228" s="21" t="s">
        <v>190</v>
      </c>
      <c r="Q228" s="89">
        <f>+F189-1</f>
        <v>0</v>
      </c>
      <c r="R228" s="85" t="str">
        <f>IF(ABS(Q228)&lt;0.0001,"OK","CHECK")</f>
        <v>OK</v>
      </c>
    </row>
    <row r="229" spans="4:18" x14ac:dyDescent="0.2">
      <c r="D229" s="86">
        <v>0.25</v>
      </c>
      <c r="E229" s="87">
        <f t="shared" si="39"/>
        <v>0.19895931502760744</v>
      </c>
      <c r="F229" s="90">
        <f t="shared" si="39"/>
        <v>0.24800407873008168</v>
      </c>
      <c r="G229" s="87">
        <f t="shared" si="39"/>
        <v>0.31875084405138221</v>
      </c>
      <c r="J229" s="88">
        <f t="shared" si="40"/>
        <v>2.4787808568707486</v>
      </c>
      <c r="K229" s="91">
        <f t="shared" si="40"/>
        <v>3.0293093760725109</v>
      </c>
      <c r="L229" s="88">
        <f t="shared" si="40"/>
        <v>3.9915627959010056</v>
      </c>
      <c r="N229" s="21" t="s">
        <v>191</v>
      </c>
      <c r="Q229" s="34">
        <f>+MIN(M140:R140)-F155</f>
        <v>0</v>
      </c>
      <c r="R229" s="85" t="str">
        <f>IF(Q229&gt;=-0.01,"OK","CHECK")</f>
        <v>OK</v>
      </c>
    </row>
    <row r="230" spans="4:18" x14ac:dyDescent="0.2">
      <c r="D230" s="86">
        <v>0.35</v>
      </c>
      <c r="E230" s="87">
        <f t="shared" si="39"/>
        <v>0.16672378790315245</v>
      </c>
      <c r="F230" s="87">
        <f t="shared" si="39"/>
        <v>0.20619963302497846</v>
      </c>
      <c r="G230" s="87">
        <f t="shared" si="39"/>
        <v>0.26014991964352618</v>
      </c>
      <c r="J230" s="88">
        <f t="shared" si="40"/>
        <v>2.1628367347850168</v>
      </c>
      <c r="K230" s="88">
        <f t="shared" si="40"/>
        <v>2.5545771681953711</v>
      </c>
      <c r="L230" s="88">
        <f t="shared" si="40"/>
        <v>3.1797004600673775</v>
      </c>
      <c r="N230" s="21" t="s">
        <v>192</v>
      </c>
      <c r="Q230" s="34">
        <f>+MIN(M81:R81,M91:R91,M98:R98)</f>
        <v>0</v>
      </c>
      <c r="R230" s="85" t="str">
        <f>IF(Q230&gt;=-0.01,"OK","CHECK")</f>
        <v>OK</v>
      </c>
    </row>
    <row r="231" spans="4:18" x14ac:dyDescent="0.2">
      <c r="N231" s="21" t="s">
        <v>193</v>
      </c>
      <c r="Q231" s="89">
        <f>+T82</f>
        <v>0</v>
      </c>
      <c r="R231" s="85" t="str">
        <f>IF(ABS(Q231)&lt;0.0001,"OK","CHECK")</f>
        <v>OK</v>
      </c>
    </row>
    <row r="232" spans="4:18" x14ac:dyDescent="0.2">
      <c r="N232" s="21" t="s">
        <v>194</v>
      </c>
      <c r="Q232" s="34">
        <f>+MAX(ABS(N31-N55),ABS(R31-R55))</f>
        <v>0</v>
      </c>
      <c r="R232" s="85" t="str">
        <f>IF(Q232&lt;0.01,"OK","CHECK")</f>
        <v>OK</v>
      </c>
    </row>
  </sheetData>
  <mergeCells count="2">
    <mergeCell ref="U19:U20"/>
    <mergeCell ref="V19:V20"/>
  </mergeCells>
  <dataValidations disablePrompts="1" count="3">
    <dataValidation type="list" promptTitle="Operating Scenario" prompt="Select 1 = Base Case, 2 = Bull Case, 3 = Bear Case" sqref="F9" xr:uid="{00000000-0002-0000-0100-000000000000}">
      <formula1>"1,2,3"</formula1>
    </dataValidation>
    <dataValidation type="list" sqref="K149" xr:uid="{00000000-0002-0000-0100-000001000000}">
      <formula1>"2026,2027,2028,2029,2030"</formula1>
    </dataValidation>
    <dataValidation type="list" sqref="K154" xr:uid="{00000000-0002-0000-0100-000002000000}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Instructions</vt:lpstr>
      <vt:lpstr>LBO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2026-10-20T18:42:09Z</dcterms:modified>
</cp:coreProperties>
</file>