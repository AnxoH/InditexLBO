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13_ncr:1_{A841AEA9-D84D-4C1B-902C-C28971EE977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" sheetId="2" r:id="rId2"/>
  </sheets>
  <externalReferences>
    <externalReference r:id="rId3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241" i="2"/>
  <c r="N234" i="2"/>
  <c r="N232" i="2" s="1"/>
  <c r="M232" i="2"/>
  <c r="R220" i="2"/>
  <c r="Q220" i="2"/>
  <c r="P220" i="2"/>
  <c r="O220" i="2"/>
  <c r="N220" i="2"/>
  <c r="J213" i="2"/>
  <c r="K213" i="2" s="1"/>
  <c r="L213" i="2" s="1"/>
  <c r="M213" i="2" s="1"/>
  <c r="N213" i="2" s="1"/>
  <c r="O213" i="2" s="1"/>
  <c r="P213" i="2" s="1"/>
  <c r="Q213" i="2" s="1"/>
  <c r="R213" i="2" s="1"/>
  <c r="F185" i="2"/>
  <c r="F181" i="2"/>
  <c r="F180" i="2"/>
  <c r="F179" i="2"/>
  <c r="F178" i="2"/>
  <c r="F176" i="2"/>
  <c r="F173" i="2"/>
  <c r="E195" i="2" s="1"/>
  <c r="H167" i="2"/>
  <c r="F166" i="2"/>
  <c r="F170" i="2" s="1"/>
  <c r="E200" i="2" s="1"/>
  <c r="K163" i="2"/>
  <c r="M156" i="2"/>
  <c r="M157" i="2" s="1"/>
  <c r="J143" i="2"/>
  <c r="M142" i="2"/>
  <c r="L142" i="2"/>
  <c r="K142" i="2"/>
  <c r="J142" i="2"/>
  <c r="J139" i="2"/>
  <c r="K139" i="2" s="1"/>
  <c r="L139" i="2" s="1"/>
  <c r="M139" i="2" s="1"/>
  <c r="N139" i="2" s="1"/>
  <c r="O139" i="2" s="1"/>
  <c r="P139" i="2" s="1"/>
  <c r="Q139" i="2" s="1"/>
  <c r="R139" i="2" s="1"/>
  <c r="M116" i="2"/>
  <c r="M117" i="2" s="1"/>
  <c r="N108" i="2"/>
  <c r="N99" i="2"/>
  <c r="R93" i="2"/>
  <c r="Q93" i="2"/>
  <c r="P93" i="2"/>
  <c r="O93" i="2"/>
  <c r="N93" i="2"/>
  <c r="R83" i="2"/>
  <c r="T83" i="2" s="1"/>
  <c r="Q251" i="2" s="1"/>
  <c r="R251" i="2" s="1"/>
  <c r="M63" i="2"/>
  <c r="N61" i="2"/>
  <c r="M55" i="2"/>
  <c r="M144" i="2" s="1"/>
  <c r="L55" i="2"/>
  <c r="L144" i="2" s="1"/>
  <c r="K55" i="2"/>
  <c r="K144" i="2" s="1"/>
  <c r="J55" i="2"/>
  <c r="J144" i="2" s="1"/>
  <c r="N54" i="2"/>
  <c r="M54" i="2"/>
  <c r="L54" i="2"/>
  <c r="K54" i="2"/>
  <c r="M47" i="2"/>
  <c r="L47" i="2"/>
  <c r="K47" i="2"/>
  <c r="J47" i="2"/>
  <c r="J41" i="2"/>
  <c r="K41" i="2" s="1"/>
  <c r="L41" i="2" s="1"/>
  <c r="M41" i="2" s="1"/>
  <c r="N41" i="2" s="1"/>
  <c r="O41" i="2" s="1"/>
  <c r="P41" i="2" s="1"/>
  <c r="Q41" i="2" s="1"/>
  <c r="R41" i="2" s="1"/>
  <c r="F33" i="2"/>
  <c r="M31" i="2"/>
  <c r="L31" i="2"/>
  <c r="K31" i="2"/>
  <c r="J31" i="2"/>
  <c r="M26" i="2"/>
  <c r="L26" i="2"/>
  <c r="K26" i="2"/>
  <c r="J26" i="2"/>
  <c r="M24" i="2"/>
  <c r="L24" i="2"/>
  <c r="K24" i="2"/>
  <c r="J24" i="2"/>
  <c r="M22" i="2"/>
  <c r="L22" i="2"/>
  <c r="K22" i="2"/>
  <c r="J22" i="2"/>
  <c r="K20" i="2"/>
  <c r="L20" i="2" s="1"/>
  <c r="M20" i="2" s="1"/>
  <c r="M17" i="2"/>
  <c r="L17" i="2"/>
  <c r="K17" i="2"/>
  <c r="J17" i="2"/>
  <c r="H17" i="2"/>
  <c r="M16" i="2"/>
  <c r="L16" i="2"/>
  <c r="K16" i="2"/>
  <c r="J16" i="2"/>
  <c r="H16" i="2"/>
  <c r="M15" i="2"/>
  <c r="L15" i="2"/>
  <c r="K15" i="2"/>
  <c r="J15" i="2"/>
  <c r="H15" i="2"/>
  <c r="M14" i="2"/>
  <c r="L14" i="2"/>
  <c r="K14" i="2"/>
  <c r="J14" i="2"/>
  <c r="H14" i="2"/>
  <c r="M13" i="2"/>
  <c r="L13" i="2"/>
  <c r="K13" i="2"/>
  <c r="H13" i="2"/>
  <c r="H12" i="2"/>
  <c r="M11" i="2"/>
  <c r="L11" i="2"/>
  <c r="K11" i="2"/>
  <c r="J11" i="2"/>
  <c r="H11" i="2"/>
  <c r="H10" i="2"/>
  <c r="H9" i="2"/>
  <c r="K8" i="2"/>
  <c r="L8" i="2" s="1"/>
  <c r="M8" i="2" s="1"/>
  <c r="N8" i="2" s="1"/>
  <c r="O8" i="2" s="1"/>
  <c r="P8" i="2" s="1"/>
  <c r="Q8" i="2" s="1"/>
  <c r="R8" i="2" s="1"/>
  <c r="H8" i="2"/>
  <c r="N130" i="2" l="1"/>
  <c r="D235" i="2"/>
  <c r="O234" i="2"/>
  <c r="E203" i="2"/>
  <c r="K165" i="2"/>
  <c r="N156" i="2"/>
  <c r="M118" i="2"/>
  <c r="N115" i="2"/>
  <c r="N62" i="2"/>
  <c r="N63" i="2" s="1"/>
  <c r="O61" i="2" s="1"/>
  <c r="M48" i="2"/>
  <c r="L48" i="2"/>
  <c r="M49" i="2"/>
  <c r="M143" i="2" s="1"/>
  <c r="K48" i="2"/>
  <c r="L49" i="2"/>
  <c r="L143" i="2" s="1"/>
  <c r="J48" i="2"/>
  <c r="K49" i="2"/>
  <c r="K143" i="2" s="1"/>
  <c r="M29" i="2"/>
  <c r="U26" i="2"/>
  <c r="M27" i="2"/>
  <c r="L27" i="2"/>
  <c r="L29" i="2"/>
  <c r="K29" i="2"/>
  <c r="K27" i="2"/>
  <c r="J27" i="2"/>
  <c r="J29" i="2"/>
  <c r="N20" i="2"/>
  <c r="U21" i="2"/>
  <c r="U23" i="2"/>
  <c r="U25" i="2"/>
  <c r="U28" i="2"/>
  <c r="U36" i="2"/>
  <c r="R17" i="2"/>
  <c r="Q17" i="2"/>
  <c r="P17" i="2"/>
  <c r="O17" i="2"/>
  <c r="N17" i="2"/>
  <c r="R16" i="2"/>
  <c r="Q16" i="2"/>
  <c r="P16" i="2"/>
  <c r="O16" i="2"/>
  <c r="N16" i="2"/>
  <c r="R15" i="2"/>
  <c r="Q15" i="2"/>
  <c r="P15" i="2"/>
  <c r="O15" i="2"/>
  <c r="N15" i="2"/>
  <c r="R14" i="2"/>
  <c r="Q14" i="2"/>
  <c r="P14" i="2"/>
  <c r="O14" i="2"/>
  <c r="N14" i="2"/>
  <c r="R13" i="2"/>
  <c r="Q13" i="2"/>
  <c r="P13" i="2"/>
  <c r="O13" i="2"/>
  <c r="N13" i="2"/>
  <c r="N28" i="2" s="1"/>
  <c r="O28" i="2" s="1"/>
  <c r="P28" i="2" s="1"/>
  <c r="Q28" i="2" s="1"/>
  <c r="R28" i="2" s="1"/>
  <c r="R12" i="2"/>
  <c r="Q12" i="2"/>
  <c r="P12" i="2"/>
  <c r="O12" i="2"/>
  <c r="N12" i="2"/>
  <c r="N25" i="2" s="1"/>
  <c r="O25" i="2" s="1"/>
  <c r="P25" i="2" s="1"/>
  <c r="Q25" i="2" s="1"/>
  <c r="R11" i="2"/>
  <c r="Q11" i="2"/>
  <c r="P11" i="2"/>
  <c r="O11" i="2"/>
  <c r="N11" i="2"/>
  <c r="R10" i="2"/>
  <c r="Q10" i="2"/>
  <c r="P10" i="2"/>
  <c r="O10" i="2"/>
  <c r="N10" i="2"/>
  <c r="N21" i="2" s="1"/>
  <c r="U31" i="2"/>
  <c r="U24" i="2"/>
  <c r="U22" i="2"/>
  <c r="R25" i="2" l="1"/>
  <c r="P234" i="2"/>
  <c r="D236" i="2"/>
  <c r="O232" i="2"/>
  <c r="N119" i="2"/>
  <c r="O62" i="2"/>
  <c r="O63" i="2" s="1"/>
  <c r="P61" i="2" s="1"/>
  <c r="U29" i="2"/>
  <c r="M30" i="2"/>
  <c r="U30" i="2" s="1"/>
  <c r="M32" i="2"/>
  <c r="F163" i="2"/>
  <c r="M141" i="2"/>
  <c r="M145" i="2" s="1"/>
  <c r="L30" i="2"/>
  <c r="L32" i="2"/>
  <c r="L33" i="2" s="1"/>
  <c r="L35" i="2" s="1"/>
  <c r="L37" i="2" s="1"/>
  <c r="L141" i="2"/>
  <c r="L145" i="2" s="1"/>
  <c r="K30" i="2"/>
  <c r="K32" i="2"/>
  <c r="K33" i="2" s="1"/>
  <c r="K35" i="2" s="1"/>
  <c r="K37" i="2" s="1"/>
  <c r="K141" i="2"/>
  <c r="K145" i="2" s="1"/>
  <c r="J30" i="2"/>
  <c r="J32" i="2"/>
  <c r="J33" i="2" s="1"/>
  <c r="J35" i="2" s="1"/>
  <c r="J37" i="2" s="1"/>
  <c r="J141" i="2"/>
  <c r="J145" i="2" s="1"/>
  <c r="O20" i="2"/>
  <c r="G68" i="2"/>
  <c r="O21" i="2"/>
  <c r="N23" i="2"/>
  <c r="N44" i="2"/>
  <c r="N45" i="2"/>
  <c r="N46" i="2"/>
  <c r="N58" i="2"/>
  <c r="U27" i="2"/>
  <c r="Q234" i="2" l="1"/>
  <c r="D237" i="2"/>
  <c r="P232" i="2"/>
  <c r="P62" i="2"/>
  <c r="P63" i="2" s="1"/>
  <c r="Q61" i="2" s="1"/>
  <c r="U32" i="2"/>
  <c r="M33" i="2"/>
  <c r="K164" i="2"/>
  <c r="K167" i="2" s="1"/>
  <c r="F169" i="2"/>
  <c r="P20" i="2"/>
  <c r="G69" i="2"/>
  <c r="P21" i="2"/>
  <c r="O23" i="2"/>
  <c r="O44" i="2"/>
  <c r="O45" i="2"/>
  <c r="O46" i="2"/>
  <c r="O58" i="2"/>
  <c r="N24" i="2"/>
  <c r="N26" i="2"/>
  <c r="N22" i="2"/>
  <c r="H68" i="2"/>
  <c r="N55" i="2"/>
  <c r="N47" i="2"/>
  <c r="R234" i="2" l="1"/>
  <c r="D238" i="2"/>
  <c r="Q232" i="2"/>
  <c r="Q62" i="2"/>
  <c r="Q63" i="2"/>
  <c r="R61" i="2" s="1"/>
  <c r="U33" i="2"/>
  <c r="M35" i="2"/>
  <c r="R215" i="2"/>
  <c r="Q215" i="2"/>
  <c r="P215" i="2"/>
  <c r="O215" i="2"/>
  <c r="N215" i="2"/>
  <c r="E190" i="2"/>
  <c r="E191" i="2"/>
  <c r="E192" i="2"/>
  <c r="E193" i="2"/>
  <c r="Q20" i="2"/>
  <c r="G70" i="2"/>
  <c r="Q21" i="2"/>
  <c r="P23" i="2"/>
  <c r="P44" i="2"/>
  <c r="P45" i="2"/>
  <c r="P46" i="2"/>
  <c r="P58" i="2"/>
  <c r="O24" i="2"/>
  <c r="O26" i="2"/>
  <c r="O22" i="2"/>
  <c r="H69" i="2"/>
  <c r="O55" i="2"/>
  <c r="O144" i="2" s="1"/>
  <c r="N27" i="2"/>
  <c r="N29" i="2"/>
  <c r="N68" i="2"/>
  <c r="N73" i="2" s="1"/>
  <c r="N56" i="2" s="1"/>
  <c r="O68" i="2"/>
  <c r="P68" i="2" s="1"/>
  <c r="N144" i="2"/>
  <c r="N48" i="2"/>
  <c r="N49" i="2"/>
  <c r="N143" i="2" s="1"/>
  <c r="O47" i="2"/>
  <c r="O49" i="2" s="1"/>
  <c r="O143" i="2" s="1"/>
  <c r="P47" i="2" l="1"/>
  <c r="D239" i="2"/>
  <c r="R232" i="2"/>
  <c r="R62" i="2"/>
  <c r="R63" i="2"/>
  <c r="U35" i="2"/>
  <c r="M37" i="2"/>
  <c r="U37" i="2" s="1"/>
  <c r="E202" i="2"/>
  <c r="M80" i="2"/>
  <c r="F177" i="2"/>
  <c r="F34" i="2" s="1"/>
  <c r="M88" i="2"/>
  <c r="M90" i="2" s="1"/>
  <c r="M92" i="2" s="1"/>
  <c r="M98" i="2"/>
  <c r="M101" i="2" s="1"/>
  <c r="N97" i="2" s="1"/>
  <c r="M107" i="2"/>
  <c r="M110" i="2" s="1"/>
  <c r="N106" i="2" s="1"/>
  <c r="R20" i="2"/>
  <c r="G71" i="2"/>
  <c r="R21" i="2"/>
  <c r="Q23" i="2"/>
  <c r="Q44" i="2"/>
  <c r="Q45" i="2"/>
  <c r="Q46" i="2"/>
  <c r="Q58" i="2"/>
  <c r="P24" i="2"/>
  <c r="P26" i="2"/>
  <c r="P22" i="2"/>
  <c r="H70" i="2"/>
  <c r="P55" i="2"/>
  <c r="P144" i="2" s="1"/>
  <c r="O27" i="2"/>
  <c r="O29" i="2"/>
  <c r="O69" i="2"/>
  <c r="O73" i="2" s="1"/>
  <c r="O56" i="2" s="1"/>
  <c r="O31" i="2" s="1"/>
  <c r="P69" i="2"/>
  <c r="Q69" i="2"/>
  <c r="R69" i="2" s="1"/>
  <c r="N30" i="2"/>
  <c r="N141" i="2"/>
  <c r="N216" i="2"/>
  <c r="N217" i="2" s="1"/>
  <c r="O48" i="2"/>
  <c r="N31" i="2"/>
  <c r="N32" i="2" s="1"/>
  <c r="N33" i="2" s="1"/>
  <c r="N57" i="2"/>
  <c r="O54" i="2" s="1"/>
  <c r="O57" i="2" s="1"/>
  <c r="P54" i="2" s="1"/>
  <c r="Q68" i="2"/>
  <c r="R68" i="2" s="1"/>
  <c r="P48" i="2" l="1"/>
  <c r="P49" i="2"/>
  <c r="P143" i="2" s="1"/>
  <c r="E204" i="2"/>
  <c r="F202" i="2" s="1"/>
  <c r="M82" i="2"/>
  <c r="M128" i="2"/>
  <c r="N87" i="2"/>
  <c r="N89" i="2"/>
  <c r="N101" i="2"/>
  <c r="O97" i="2" s="1"/>
  <c r="O99" i="2" s="1"/>
  <c r="N102" i="2"/>
  <c r="N103" i="2"/>
  <c r="N110" i="2"/>
  <c r="O106" i="2" s="1"/>
  <c r="O108" i="2" s="1"/>
  <c r="N111" i="2"/>
  <c r="N112" i="2"/>
  <c r="V25" i="2"/>
  <c r="V28" i="2"/>
  <c r="G72" i="2"/>
  <c r="V21" i="2"/>
  <c r="R23" i="2"/>
  <c r="R44" i="2"/>
  <c r="R45" i="2"/>
  <c r="R46" i="2"/>
  <c r="R58" i="2"/>
  <c r="Q24" i="2"/>
  <c r="Q26" i="2"/>
  <c r="Q22" i="2"/>
  <c r="H71" i="2"/>
  <c r="Q55" i="2"/>
  <c r="Q144" i="2" s="1"/>
  <c r="P27" i="2"/>
  <c r="P29" i="2"/>
  <c r="P70" i="2"/>
  <c r="O30" i="2"/>
  <c r="O32" i="2"/>
  <c r="O33" i="2" s="1"/>
  <c r="O141" i="2"/>
  <c r="O216" i="2"/>
  <c r="O217" i="2" s="1"/>
  <c r="N221" i="2"/>
  <c r="Q47" i="2"/>
  <c r="O130" i="2" l="1"/>
  <c r="P73" i="2"/>
  <c r="P56" i="2" s="1"/>
  <c r="Q70" i="2"/>
  <c r="R70" i="2"/>
  <c r="F201" i="2"/>
  <c r="E197" i="2"/>
  <c r="F204" i="2"/>
  <c r="F203" i="2"/>
  <c r="F200" i="2"/>
  <c r="M131" i="2"/>
  <c r="M135" i="2" s="1"/>
  <c r="M134" i="2"/>
  <c r="N79" i="2"/>
  <c r="N81" i="2"/>
  <c r="N128" i="2" s="1"/>
  <c r="N148" i="2" s="1"/>
  <c r="N90" i="2"/>
  <c r="N94" i="2" s="1"/>
  <c r="O101" i="2"/>
  <c r="P97" i="2" s="1"/>
  <c r="P99" i="2" s="1"/>
  <c r="O102" i="2"/>
  <c r="O103" i="2"/>
  <c r="O110" i="2"/>
  <c r="P106" i="2" s="1"/>
  <c r="P108" i="2" s="1"/>
  <c r="P130" i="2" s="1"/>
  <c r="O111" i="2"/>
  <c r="O112" i="2"/>
  <c r="V23" i="2"/>
  <c r="R24" i="2"/>
  <c r="V24" i="2" s="1"/>
  <c r="R26" i="2"/>
  <c r="R22" i="2"/>
  <c r="V22" i="2" s="1"/>
  <c r="H72" i="2"/>
  <c r="R72" i="2" s="1"/>
  <c r="R55" i="2"/>
  <c r="R144" i="2" s="1"/>
  <c r="Q27" i="2"/>
  <c r="Q29" i="2"/>
  <c r="Q71" i="2"/>
  <c r="R71" i="2"/>
  <c r="R73" i="2" s="1"/>
  <c r="R56" i="2" s="1"/>
  <c r="R31" i="2" s="1"/>
  <c r="P30" i="2"/>
  <c r="P141" i="2"/>
  <c r="P216" i="2"/>
  <c r="P217" i="2" s="1"/>
  <c r="P57" i="2"/>
  <c r="Q54" i="2" s="1"/>
  <c r="P31" i="2"/>
  <c r="P32" i="2" s="1"/>
  <c r="P33" i="2" s="1"/>
  <c r="O221" i="2"/>
  <c r="Q48" i="2"/>
  <c r="Q49" i="2"/>
  <c r="Q143" i="2" s="1"/>
  <c r="R47" i="2"/>
  <c r="Q73" i="2" l="1"/>
  <c r="Q56" i="2" s="1"/>
  <c r="Q252" i="2"/>
  <c r="R252" i="2" s="1"/>
  <c r="V31" i="2"/>
  <c r="F192" i="2"/>
  <c r="F191" i="2"/>
  <c r="F193" i="2"/>
  <c r="F190" i="2"/>
  <c r="F195" i="2"/>
  <c r="F197" i="2"/>
  <c r="Q247" i="2"/>
  <c r="R247" i="2" s="1"/>
  <c r="F194" i="2"/>
  <c r="E196" i="2"/>
  <c r="N82" i="2"/>
  <c r="N84" i="2" s="1"/>
  <c r="N127" i="2"/>
  <c r="P101" i="2"/>
  <c r="Q97" i="2" s="1"/>
  <c r="Q99" i="2" s="1"/>
  <c r="P102" i="2"/>
  <c r="P103" i="2"/>
  <c r="P110" i="2"/>
  <c r="Q106" i="2" s="1"/>
  <c r="Q108" i="2" s="1"/>
  <c r="P111" i="2"/>
  <c r="P112" i="2"/>
  <c r="V26" i="2"/>
  <c r="R27" i="2"/>
  <c r="V27" i="2" s="1"/>
  <c r="R29" i="2"/>
  <c r="Q30" i="2"/>
  <c r="Q141" i="2"/>
  <c r="Q216" i="2"/>
  <c r="Q217" i="2" s="1"/>
  <c r="P221" i="2"/>
  <c r="R48" i="2"/>
  <c r="R49" i="2"/>
  <c r="R143" i="2" s="1"/>
  <c r="Q57" i="2" l="1"/>
  <c r="R54" i="2" s="1"/>
  <c r="R57" i="2" s="1"/>
  <c r="Q31" i="2"/>
  <c r="Q32" i="2" s="1"/>
  <c r="Q33" i="2" s="1"/>
  <c r="Q130" i="2"/>
  <c r="F196" i="2"/>
  <c r="E208" i="2"/>
  <c r="M236" i="2"/>
  <c r="M238" i="2"/>
  <c r="M235" i="2"/>
  <c r="M237" i="2"/>
  <c r="M239" i="2"/>
  <c r="N133" i="2"/>
  <c r="N34" i="2" s="1"/>
  <c r="N35" i="2" s="1"/>
  <c r="N132" i="2"/>
  <c r="N147" i="2" s="1"/>
  <c r="O79" i="2"/>
  <c r="Q101" i="2"/>
  <c r="R97" i="2" s="1"/>
  <c r="R99" i="2" s="1"/>
  <c r="Q102" i="2"/>
  <c r="Q103" i="2"/>
  <c r="Q110" i="2"/>
  <c r="R106" i="2" s="1"/>
  <c r="R108" i="2" s="1"/>
  <c r="Q111" i="2"/>
  <c r="Q112" i="2"/>
  <c r="V29" i="2"/>
  <c r="R30" i="2"/>
  <c r="V30" i="2" s="1"/>
  <c r="R32" i="2"/>
  <c r="R141" i="2"/>
  <c r="R216" i="2"/>
  <c r="R217" i="2" s="1"/>
  <c r="Q221" i="2"/>
  <c r="R130" i="2" l="1"/>
  <c r="E209" i="2"/>
  <c r="M241" i="2"/>
  <c r="N36" i="2"/>
  <c r="O81" i="2"/>
  <c r="O82" i="2"/>
  <c r="O84" i="2" s="1"/>
  <c r="R101" i="2"/>
  <c r="R102" i="2"/>
  <c r="R103" i="2"/>
  <c r="R110" i="2"/>
  <c r="R111" i="2"/>
  <c r="R112" i="2"/>
  <c r="V32" i="2"/>
  <c r="R33" i="2"/>
  <c r="R221" i="2"/>
  <c r="P79" i="2" l="1"/>
  <c r="V33" i="2"/>
  <c r="F207" i="2"/>
  <c r="F208" i="2"/>
  <c r="N142" i="2"/>
  <c r="N145" i="2" s="1"/>
  <c r="N149" i="2" s="1"/>
  <c r="N37" i="2"/>
  <c r="P81" i="2" l="1"/>
  <c r="P82" i="2" s="1"/>
  <c r="P84" i="2" s="1"/>
  <c r="N236" i="2"/>
  <c r="N237" i="2"/>
  <c r="O237" i="2"/>
  <c r="N238" i="2"/>
  <c r="O238" i="2"/>
  <c r="P238" i="2"/>
  <c r="N239" i="2"/>
  <c r="O239" i="2"/>
  <c r="O241" i="2" s="1"/>
  <c r="P239" i="2"/>
  <c r="P241" i="2" s="1"/>
  <c r="Q239" i="2"/>
  <c r="Q241" i="2" s="1"/>
  <c r="F209" i="2"/>
  <c r="Q248" i="2" s="1"/>
  <c r="R248" i="2" s="1"/>
  <c r="N150" i="2"/>
  <c r="Q79" i="2" l="1"/>
  <c r="N241" i="2"/>
  <c r="N116" i="2"/>
  <c r="Q81" i="2" l="1"/>
  <c r="Q82" i="2" s="1"/>
  <c r="Q84" i="2" s="1"/>
  <c r="N117" i="2"/>
  <c r="N151" i="2"/>
  <c r="R79" i="2" l="1"/>
  <c r="O115" i="2"/>
  <c r="N118" i="2"/>
  <c r="N91" i="2"/>
  <c r="R81" i="2" l="1"/>
  <c r="R82" i="2" s="1"/>
  <c r="R84" i="2" s="1"/>
  <c r="O119" i="2"/>
  <c r="N152" i="2"/>
  <c r="N154" i="2" s="1"/>
  <c r="N157" i="2" s="1"/>
  <c r="N129" i="2"/>
  <c r="N92" i="2"/>
  <c r="N219" i="2" l="1"/>
  <c r="O156" i="2"/>
  <c r="T81" i="2"/>
  <c r="N134" i="2"/>
  <c r="N131" i="2"/>
  <c r="O87" i="2"/>
  <c r="N218" i="2" l="1"/>
  <c r="N222" i="2" s="1"/>
  <c r="N135" i="2"/>
  <c r="O127" i="2"/>
  <c r="O89" i="2"/>
  <c r="N225" i="2" l="1"/>
  <c r="N224" i="2"/>
  <c r="N235" i="2"/>
  <c r="O128" i="2"/>
  <c r="O148" i="2" s="1"/>
  <c r="O90" i="2"/>
  <c r="U235" i="2" l="1"/>
  <c r="N229" i="2" s="1"/>
  <c r="V235" i="2"/>
  <c r="N230" i="2" s="1"/>
  <c r="O94" i="2"/>
  <c r="O133" i="2" l="1"/>
  <c r="O34" i="2" s="1"/>
  <c r="O35" i="2" s="1"/>
  <c r="O132" i="2"/>
  <c r="O147" i="2" s="1"/>
  <c r="O36" i="2" l="1"/>
  <c r="O142" i="2" l="1"/>
  <c r="O145" i="2" s="1"/>
  <c r="O149" i="2" s="1"/>
  <c r="O150" i="2" s="1"/>
  <c r="O37" i="2"/>
  <c r="O116" i="2" l="1"/>
  <c r="O117" i="2" l="1"/>
  <c r="O151" i="2"/>
  <c r="P115" i="2" l="1"/>
  <c r="O118" i="2"/>
  <c r="O91" i="2"/>
  <c r="P119" i="2" l="1"/>
  <c r="O152" i="2"/>
  <c r="O154" i="2" s="1"/>
  <c r="O157" i="2" s="1"/>
  <c r="O129" i="2"/>
  <c r="O92" i="2"/>
  <c r="P156" i="2" l="1"/>
  <c r="O219" i="2"/>
  <c r="O134" i="2"/>
  <c r="O131" i="2"/>
  <c r="P87" i="2"/>
  <c r="O218" i="2" l="1"/>
  <c r="O222" i="2" s="1"/>
  <c r="O135" i="2"/>
  <c r="P127" i="2"/>
  <c r="P89" i="2"/>
  <c r="P128" i="2" l="1"/>
  <c r="P148" i="2" s="1"/>
  <c r="P90" i="2"/>
  <c r="P94" i="2" s="1"/>
  <c r="O225" i="2"/>
  <c r="O224" i="2"/>
  <c r="O236" i="2"/>
  <c r="P133" i="2" l="1"/>
  <c r="P34" i="2" s="1"/>
  <c r="P35" i="2" s="1"/>
  <c r="P36" i="2" s="1"/>
  <c r="P132" i="2"/>
  <c r="P147" i="2" s="1"/>
  <c r="U236" i="2"/>
  <c r="O229" i="2" s="1"/>
  <c r="V236" i="2"/>
  <c r="O230" i="2" s="1"/>
  <c r="P142" i="2" l="1"/>
  <c r="P145" i="2" s="1"/>
  <c r="P149" i="2" s="1"/>
  <c r="P150" i="2" s="1"/>
  <c r="P37" i="2"/>
  <c r="P116" i="2" l="1"/>
  <c r="P117" i="2" l="1"/>
  <c r="P151" i="2"/>
  <c r="Q115" i="2" l="1"/>
  <c r="P118" i="2"/>
  <c r="P91" i="2"/>
  <c r="Q119" i="2" l="1"/>
  <c r="P152" i="2"/>
  <c r="P154" i="2" s="1"/>
  <c r="P157" i="2" s="1"/>
  <c r="P129" i="2"/>
  <c r="P92" i="2"/>
  <c r="Q156" i="2" l="1"/>
  <c r="P219" i="2"/>
  <c r="Q87" i="2"/>
  <c r="P131" i="2"/>
  <c r="P134" i="2"/>
  <c r="Q127" i="2" l="1"/>
  <c r="Q89" i="2"/>
  <c r="P218" i="2"/>
  <c r="P222" i="2" s="1"/>
  <c r="P135" i="2"/>
  <c r="P225" i="2" l="1"/>
  <c r="P224" i="2"/>
  <c r="P237" i="2"/>
  <c r="Q128" i="2"/>
  <c r="Q148" i="2" s="1"/>
  <c r="Q90" i="2"/>
  <c r="V237" i="2" l="1"/>
  <c r="P230" i="2" s="1"/>
  <c r="U237" i="2"/>
  <c r="P229" i="2" s="1"/>
  <c r="Q94" i="2"/>
  <c r="Q133" i="2" l="1"/>
  <c r="Q34" i="2" s="1"/>
  <c r="Q35" i="2" s="1"/>
  <c r="Q132" i="2"/>
  <c r="Q147" i="2" s="1"/>
  <c r="Q36" i="2" l="1"/>
  <c r="Q142" i="2" l="1"/>
  <c r="Q145" i="2" s="1"/>
  <c r="Q149" i="2" s="1"/>
  <c r="Q150" i="2" s="1"/>
  <c r="Q37" i="2"/>
  <c r="Q116" i="2" l="1"/>
  <c r="Q117" i="2" l="1"/>
  <c r="Q151" i="2"/>
  <c r="R115" i="2" l="1"/>
  <c r="Q118" i="2"/>
  <c r="Q91" i="2"/>
  <c r="R119" i="2" l="1"/>
  <c r="Q152" i="2"/>
  <c r="Q154" i="2" s="1"/>
  <c r="Q157" i="2" s="1"/>
  <c r="Q129" i="2"/>
  <c r="Q92" i="2"/>
  <c r="Q134" i="2" l="1"/>
  <c r="Q131" i="2"/>
  <c r="R87" i="2"/>
  <c r="Q219" i="2"/>
  <c r="R156" i="2"/>
  <c r="Q218" i="2" l="1"/>
  <c r="Q222" i="2" s="1"/>
  <c r="Q135" i="2"/>
  <c r="R127" i="2"/>
  <c r="R89" i="2"/>
  <c r="R128" i="2" l="1"/>
  <c r="R148" i="2" s="1"/>
  <c r="R90" i="2"/>
  <c r="R94" i="2" s="1"/>
  <c r="Q225" i="2"/>
  <c r="Q224" i="2"/>
  <c r="Q238" i="2"/>
  <c r="R132" i="2" l="1"/>
  <c r="R147" i="2" s="1"/>
  <c r="R133" i="2"/>
  <c r="R34" i="2" s="1"/>
  <c r="R35" i="2" s="1"/>
  <c r="U238" i="2"/>
  <c r="Q229" i="2" s="1"/>
  <c r="V238" i="2"/>
  <c r="Q230" i="2" s="1"/>
  <c r="V35" i="2" l="1"/>
  <c r="R36" i="2"/>
  <c r="R37" i="2" l="1"/>
  <c r="V37" i="2" s="1"/>
  <c r="V36" i="2"/>
  <c r="R142" i="2"/>
  <c r="R145" i="2" s="1"/>
  <c r="R149" i="2" s="1"/>
  <c r="R150" i="2" s="1"/>
  <c r="R116" i="2" l="1"/>
  <c r="R117" i="2" l="1"/>
  <c r="R118" i="2" s="1"/>
  <c r="R151" i="2"/>
  <c r="R91" i="2" l="1"/>
  <c r="R152" i="2" l="1"/>
  <c r="R154" i="2" s="1"/>
  <c r="R157" i="2" s="1"/>
  <c r="R129" i="2"/>
  <c r="R92" i="2"/>
  <c r="R134" i="2" l="1"/>
  <c r="R131" i="2"/>
  <c r="Q250" i="2"/>
  <c r="R250" i="2" s="1"/>
  <c r="Q249" i="2"/>
  <c r="R249" i="2" s="1"/>
  <c r="R219" i="2"/>
  <c r="R218" i="2" l="1"/>
  <c r="R222" i="2" s="1"/>
  <c r="R135" i="2"/>
  <c r="R225" i="2" l="1"/>
  <c r="R224" i="2"/>
  <c r="L249" i="2"/>
  <c r="G249" i="2" s="1"/>
  <c r="K249" i="2"/>
  <c r="F249" i="2" s="1"/>
  <c r="J249" i="2"/>
  <c r="E249" i="2" s="1"/>
  <c r="L248" i="2"/>
  <c r="G248" i="2" s="1"/>
  <c r="K248" i="2"/>
  <c r="F248" i="2" s="1"/>
  <c r="J248" i="2"/>
  <c r="E248" i="2" s="1"/>
  <c r="L250" i="2"/>
  <c r="G250" i="2" s="1"/>
  <c r="K250" i="2"/>
  <c r="F250" i="2" s="1"/>
  <c r="J250" i="2"/>
  <c r="E250" i="2" s="1"/>
  <c r="R239" i="2"/>
  <c r="U239" i="2" l="1"/>
  <c r="V239" i="2"/>
  <c r="R241" i="2"/>
  <c r="F229" i="2" l="1"/>
  <c r="U241" i="2" s="1"/>
  <c r="R229" i="2"/>
  <c r="F230" i="2"/>
  <c r="V241" i="2" s="1"/>
  <c r="R230" i="2"/>
</calcChain>
</file>

<file path=xl/sharedStrings.xml><?xml version="1.0" encoding="utf-8"?>
<sst xmlns="http://schemas.openxmlformats.org/spreadsheetml/2006/main" count="311" uniqueCount="232">
  <si>
    <t>Project Galicia — Inditex (ITX.MC)</t>
  </si>
  <si>
    <t xml:space="preserve">&gt; </t>
  </si>
  <si>
    <t>Control Buyout Model (Ortega Family Stake Acquisition: Senior + Subordinated + Vendor Loan)</t>
  </si>
  <si>
    <t>Private &amp; Confidential</t>
  </si>
  <si>
    <t>&gt;</t>
  </si>
  <si>
    <t>Operating model (100% Inditex Consolidated)</t>
  </si>
  <si>
    <t>Drivers</t>
  </si>
  <si>
    <t>1</t>
  </si>
  <si>
    <t>2</t>
  </si>
  <si>
    <t>3</t>
  </si>
  <si>
    <t>Active Case:</t>
  </si>
  <si>
    <t>31-Jan</t>
  </si>
  <si>
    <t>Operating Driver / Scenario Presets</t>
  </si>
  <si>
    <t>Base Case</t>
  </si>
  <si>
    <t>Bull Case</t>
  </si>
  <si>
    <t>Bear Case</t>
  </si>
  <si>
    <t>Active Scenario Selector (1=Base, 2=Bull, 3=Bear)</t>
  </si>
  <si>
    <t>Select 1-3 -&gt;</t>
  </si>
  <si>
    <t>Revenue growth (% YoY)</t>
  </si>
  <si>
    <t>Gross margin (% of revenues)</t>
  </si>
  <si>
    <t>OpEx growth (% YoY)</t>
  </si>
  <si>
    <t>Fixed lease cash outflow growth (%)</t>
  </si>
  <si>
    <t>Capex (% of revenues)</t>
  </si>
  <si>
    <t>Inventory (% of revenues)</t>
  </si>
  <si>
    <t>Receivables (% of revenues)</t>
  </si>
  <si>
    <t>Payables (% of revenues, negative)</t>
  </si>
  <si>
    <t>P&amp;L</t>
  </si>
  <si>
    <t>CAGR
22A-25A</t>
  </si>
  <si>
    <t>CAGR
25A-30E</t>
  </si>
  <si>
    <t>€m</t>
  </si>
  <si>
    <t>Revenues (100% Inditex)</t>
  </si>
  <si>
    <t>COGS</t>
  </si>
  <si>
    <t>Gross margin</t>
  </si>
  <si>
    <t>% margin</t>
  </si>
  <si>
    <t>Opex (incl. variable turnover rent)</t>
  </si>
  <si>
    <t>Reported EBITDA (Post-IFRS 16 — 100% Inditex)</t>
  </si>
  <si>
    <t>% margin (Post-IFRS 16)</t>
  </si>
  <si>
    <t>Less: Fixed cash lease outflow (IFRS 16 store rents)</t>
  </si>
  <si>
    <t>Pre-IFRS 16 Cash EBITDA (100% Inditex)</t>
  </si>
  <si>
    <t>% margin (Pre-IFRS 16)</t>
  </si>
  <si>
    <t>D&amp;A (Owned PP&amp;E &amp; intangibles — 100% Inditex)</t>
  </si>
  <si>
    <t>Adj. EBIT (Pre-IFRS 16 — 100% Inditex)</t>
  </si>
  <si>
    <t>Attributable Adj. EBIT (% Stake Acquired)</t>
  </si>
  <si>
    <t>Interests (Senior + Subordinated + Vendor Loan)</t>
  </si>
  <si>
    <t>EBT (Attributable to LBO Perimeter)</t>
  </si>
  <si>
    <t>Tax (Attributable to LBO Perimeter)</t>
  </si>
  <si>
    <t>Net income (Attributable to LBO Perimeter)</t>
  </si>
  <si>
    <t>BS</t>
  </si>
  <si>
    <t>WK (Operating Working Capital — 100% Inditex)</t>
  </si>
  <si>
    <t>Inventory</t>
  </si>
  <si>
    <t>Receivables</t>
  </si>
  <si>
    <t>Payables</t>
  </si>
  <si>
    <t>Total WK (EoP balance — 100% Inditex)</t>
  </si>
  <si>
    <t>WK % of revenues</t>
  </si>
  <si>
    <t>Cash flow from WK (-ΔWK — 100% Inditex)</t>
  </si>
  <si>
    <t>Capex &amp; D&amp;A (Owned PP&amp;E + Intangibles — 100% Inditex)</t>
  </si>
  <si>
    <t>BoP Net Fixed Assets</t>
  </si>
  <si>
    <t>Capex</t>
  </si>
  <si>
    <t>D&amp;A</t>
  </si>
  <si>
    <t>EoP Net Fixed Assets</t>
  </si>
  <si>
    <t>Capex (Ordinary + Logistics — 100% Inditex)</t>
  </si>
  <si>
    <t>Existing fixed assets D&amp;A</t>
  </si>
  <si>
    <t>BoP existing net assets</t>
  </si>
  <si>
    <t>D&amp;A of existing assets</t>
  </si>
  <si>
    <t>EoP existing net assets</t>
  </si>
  <si>
    <t>Asset lifetime (years)</t>
  </si>
  <si>
    <t>First period D&amp;A impact</t>
  </si>
  <si>
    <t>Vintage</t>
  </si>
  <si>
    <t>Capex (€m)</t>
  </si>
  <si>
    <t>Total new capex D&amp;A</t>
  </si>
  <si>
    <t>Debt Schedule (Senior TLA, Senior TLB, Subordinated Debt, Ortega Vendor Loan &amp; RCF)</t>
  </si>
  <si>
    <t>1A. Senior Term Loan A (TLA — Amortising)</t>
  </si>
  <si>
    <t>BoP TLA</t>
  </si>
  <si>
    <t>Initial draw / increase</t>
  </si>
  <si>
    <t>Scheduled repayment</t>
  </si>
  <si>
    <t>EoP TLA</t>
  </si>
  <si>
    <t>TLA scheduled amortisation %</t>
  </si>
  <si>
    <t>TLA cash interest</t>
  </si>
  <si>
    <t>1B. Senior Term Loan B (TLB — Bullet / Optional Cash Sweep)</t>
  </si>
  <si>
    <t>BoP TLB</t>
  </si>
  <si>
    <t>Mandatory amortisation (% in F182)</t>
  </si>
  <si>
    <t>TLB balance before optional cash sweep</t>
  </si>
  <si>
    <t>Optional cash sweep repayment (% in F183)</t>
  </si>
  <si>
    <t>EoP TLB</t>
  </si>
  <si>
    <t>TLB mandatory amortisation %</t>
  </si>
  <si>
    <t>TLB cash interest</t>
  </si>
  <si>
    <t>2. Subordinated / Mezzanine Debt (Bullet — Cash or PIK Switch)</t>
  </si>
  <si>
    <t>BoP Subordinated debt</t>
  </si>
  <si>
    <t>PIK interest capitalised (if I180 = 1)</t>
  </si>
  <si>
    <t>Scheduled repayment (Bullet at maturity)</t>
  </si>
  <si>
    <t>EoP Subordinated debt</t>
  </si>
  <si>
    <t>Subordinated cash interest (if I180 = 0)</t>
  </si>
  <si>
    <t>Subordinated total interest (for P&amp;L tax shield)</t>
  </si>
  <si>
    <t>3. Ortega Family Vendor Loan (Pontegadea — Cash or PIK Switch)</t>
  </si>
  <si>
    <t>BoP Vendor Loan</t>
  </si>
  <si>
    <t>PIK interest capitalised (if I181 = 1)</t>
  </si>
  <si>
    <t>Scheduled repayment (Bullet at exit)</t>
  </si>
  <si>
    <t>EoP Vendor Loan</t>
  </si>
  <si>
    <t>Vendor Loan cash interest (if I181 = 0)</t>
  </si>
  <si>
    <t>Vendor Loan total interest (for P&amp;L tax shield)</t>
  </si>
  <si>
    <t>4. Revolving Credit Facility (RCF — Liquidity Line)</t>
  </si>
  <si>
    <t>BoP RCF drawn</t>
  </si>
  <si>
    <t>RCF draw / (repayment)</t>
  </si>
  <si>
    <t>EoP RCF drawn</t>
  </si>
  <si>
    <t>Undrawn RCF available</t>
  </si>
  <si>
    <t>RCF interest &amp; commitment fee</t>
  </si>
  <si>
    <t>Total LBO Debt Summary (Attributable Perimeter)</t>
  </si>
  <si>
    <t>BoP total debt (incl. Vendor Loan)</t>
  </si>
  <si>
    <t>Mandatory debt service (TLA + TLB)</t>
  </si>
  <si>
    <t>Optional TLB sweep &amp; RCF net change</t>
  </si>
  <si>
    <t>PIK interest capitalised (Subordinated + Vendor Loan)</t>
  </si>
  <si>
    <t>EoP total financial debt (incl. Vendor Loan)</t>
  </si>
  <si>
    <t>Total cash interest &amp; commitment fees (CF outflow)</t>
  </si>
  <si>
    <t>Total P&amp;L interest expense (Cash + PIK)</t>
  </si>
  <si>
    <t>Senior Net Debt / Attributable EBITDA (x)</t>
  </si>
  <si>
    <t>Total Net Debt / Attributable EBITDA (x)</t>
  </si>
  <si>
    <t>CF</t>
  </si>
  <si>
    <t>Attributable Pre-IFRS 16 Cash EBITDA (% Stake Acquired)</t>
  </si>
  <si>
    <t>Taxes (Attributable to LBO Perimeter)</t>
  </si>
  <si>
    <t>Attributable Wk cash flow (% Stake Acquired)</t>
  </si>
  <si>
    <t>Attributable Capex (% Stake Acquired)</t>
  </si>
  <si>
    <t>CF for debt service (Attributable CFADS)</t>
  </si>
  <si>
    <t>Cash interests &amp; commitment fees</t>
  </si>
  <si>
    <t>Mandatory debt repayment (TLA + TLB)</t>
  </si>
  <si>
    <t>FCF after mandatory debt service</t>
  </si>
  <si>
    <t>Excess cash before RCF &amp; sweep (above min cash)</t>
  </si>
  <si>
    <t>Optional TLB cash sweep</t>
  </si>
  <si>
    <t>Dividends to Sponsor</t>
  </si>
  <si>
    <t>Total CF (Net change in attributable cash)</t>
  </si>
  <si>
    <t>BoP attributable cash</t>
  </si>
  <si>
    <t>EoP attributable cash</t>
  </si>
  <si>
    <t>LBO (Ortega Block Control Buyout: Senior + Subordinated + Vendor Loan)</t>
  </si>
  <si>
    <t>LBO Assumptions &amp; Adjustable Acquisition Perimeter</t>
  </si>
  <si>
    <t>100% Inditex FY25A Pre-IFRS 16 Cash EBITDA (€m)</t>
  </si>
  <si>
    <t>Implied 100% Offer Enterprise Value (€m)</t>
  </si>
  <si>
    <t>Current undisturbed share price (€/sh)</t>
  </si>
  <si>
    <t>Implied Entry EV / Pre-IFRS 16 EBITDA</t>
  </si>
  <si>
    <t>Offer premium / (block discount) (%)</t>
  </si>
  <si>
    <t>Implied Entry EV / Reported Post-IFRS 16 EBITDA</t>
  </si>
  <si>
    <t>Acquisition price per share (€/sh)</t>
  </si>
  <si>
    <t>Exit year (selectable: 2026 to 2030)</t>
  </si>
  <si>
    <t>Total diluted shares outstanding (m)</t>
  </si>
  <si>
    <t>Stake acquired (%) [64.35% = Amancio + Sandra]</t>
  </si>
  <si>
    <t>Entry transaction expenses (% of purchase)</t>
  </si>
  <si>
    <t>Attributable FY25A Pre-IFRS 16 Cash EBITDA (€m)</t>
  </si>
  <si>
    <t>Upfront financing fees (% of bank/sub debt)</t>
  </si>
  <si>
    <t>Target stake purchase price (€m)</t>
  </si>
  <si>
    <t>Exit transaction expenses (% of exit EV)</t>
  </si>
  <si>
    <t>Minimum cash retained on 100% Inditex BS (€m)</t>
  </si>
  <si>
    <t>Existing statutory net cash on 100% BS (€m)</t>
  </si>
  <si>
    <t>Attributable excess cash deployed at close (€m)</t>
  </si>
  <si>
    <t>Multi-Tranche Debt Assumptions (Sized on Attributable EBITDA)</t>
  </si>
  <si>
    <t>All-in Rate / Val</t>
  </si>
  <si>
    <t>xEBITDA / Base</t>
  </si>
  <si>
    <t>Spread / Fixed</t>
  </si>
  <si>
    <t>PIK (0=Cash,1=PIK)</t>
  </si>
  <si>
    <t>Total LBO Debt xAttributable EBITDA (All Tranches)</t>
  </si>
  <si>
    <t>Blended initial interest rate / Reference Euribor</t>
  </si>
  <si>
    <t>1A. Senior TLA (6y amortising: 10/15/20/25/30%)</t>
  </si>
  <si>
    <t>1B. Senior TLB (7y bullet by default; sweep in F183)</t>
  </si>
  <si>
    <t>2. Subordinated Debt (Bullet; I180: 0=Cash, 1=PIK)</t>
  </si>
  <si>
    <t>3. Ortega Vendor Loan (Bullet; I181: 0=Cash, 1=PIK)</t>
  </si>
  <si>
    <t>TLB mandatory amortisation (% p.a. — 0% = Bullet)</t>
  </si>
  <si>
    <t>TLB excess cash sweep (% — 0% = Hold to maturity)</t>
  </si>
  <si>
    <t>RCF commitment limit (€m, undrawn at close)</t>
  </si>
  <si>
    <t>RCF drawn interest rate (Euribor + 2.25%)</t>
  </si>
  <si>
    <t>RCF undrawn commitment fee (% p.a.)</t>
  </si>
  <si>
    <t>S&amp;U (Acquisition of Target Stake &amp; Newco Ownership)</t>
  </si>
  <si>
    <t>Sources of Funds</t>
  </si>
  <si>
    <t>%</t>
  </si>
  <si>
    <t>1A. Senior TLA</t>
  </si>
  <si>
    <t>1B. Senior TLB</t>
  </si>
  <si>
    <t>2. Subordinated / Mezzanine debt</t>
  </si>
  <si>
    <t>3. Ortega family Vendor Loan</t>
  </si>
  <si>
    <t>4. RCF drawn at close</t>
  </si>
  <si>
    <t>Attributable excess BS cash deployed</t>
  </si>
  <si>
    <t>Sponsor cash equity cheque (Plug)</t>
  </si>
  <si>
    <t>Total sources of funds</t>
  </si>
  <si>
    <t>Uses of Funds</t>
  </si>
  <si>
    <t>Acquisition of Target Stake (% in F168)</t>
  </si>
  <si>
    <t>Minimum cash funded (0 = retained from BS)</t>
  </si>
  <si>
    <t>Transaction advisory expenses (% purchase)</t>
  </si>
  <si>
    <t>Total uses of funds</t>
  </si>
  <si>
    <t>Newco Equity Ownership (Control Buyout Vehicle)</t>
  </si>
  <si>
    <t>% Newco</t>
  </si>
  <si>
    <t>Seller equity rollover in Newco (0% = Full sale + Vendor Loan)</t>
  </si>
  <si>
    <t>Sponsor (Cash equity cheque — 100% of Newco)</t>
  </si>
  <si>
    <t>Total Newco common equity</t>
  </si>
  <si>
    <t>Exit valuation analysis</t>
  </si>
  <si>
    <t>EBITDA Exit Multiple (Pre-IFRS 16)</t>
  </si>
  <si>
    <t>Attributable Enterprise Value (EV of Acquired Stake)</t>
  </si>
  <si>
    <t>Less: Total financial debt (Senior + Sub + Vendor Loan + RCF)</t>
  </si>
  <si>
    <t>Plus: Attributable EoP cash</t>
  </si>
  <si>
    <t>Less: Interim dividends</t>
  </si>
  <si>
    <t>Less: Exit transaction expenses</t>
  </si>
  <si>
    <t>Newco Equity Value at Exit</t>
  </si>
  <si>
    <t>Seller rollover proceeds (if any)</t>
  </si>
  <si>
    <t>Sponsor (PE exit proceeds)</t>
  </si>
  <si>
    <t>Returns Analysis (Sponsor)</t>
  </si>
  <si>
    <t>Internal Rate of Return (IRR) @ Selected Exit</t>
  </si>
  <si>
    <t>Money Multiple (MoM / CoC) @ Selected Exit</t>
  </si>
  <si>
    <t>IRR and CoC cash flow matrix</t>
  </si>
  <si>
    <t>Exit year</t>
  </si>
  <si>
    <t>IRR</t>
  </si>
  <si>
    <t>CoC (MoM)</t>
  </si>
  <si>
    <t>Sensitivity Analysis (3x3) &amp; Automated Integrity Checks</t>
  </si>
  <si>
    <t>Sponsor 2030E IRR — Offer Premium vs. Total Debt (incl. Vendor Loan)</t>
  </si>
  <si>
    <t>Sponsor 2030E Money Multiple (MoM)</t>
  </si>
  <si>
    <t>Automated Model Integrity Checks</t>
  </si>
  <si>
    <t>Diff / Value</t>
  </si>
  <si>
    <t>Status</t>
  </si>
  <si>
    <t>Offer Premium \ Total Debt xEBITDA</t>
  </si>
  <si>
    <t>9.0x Debt</t>
  </si>
  <si>
    <t>10.5x Debt</t>
  </si>
  <si>
    <t>12.0x Debt</t>
  </si>
  <si>
    <t>1. Sources &amp; Uses balance check</t>
  </si>
  <si>
    <t>2. Newco equity ownership sums to 100%</t>
  </si>
  <si>
    <t>3. Minimum cash floor respected (all yrs)</t>
  </si>
  <si>
    <t>4. Non-negative debt balances (all yrs)</t>
  </si>
  <si>
    <t>5. TLA scheduled repayment sums to 100%</t>
  </si>
  <si>
    <t>6. P&amp;L D&amp;A reconciled to Capex schedule</t>
  </si>
  <si>
    <t>Ortega Block Control Buyout — Instructions &amp; Interactive Switches</t>
  </si>
  <si>
    <t>Step</t>
  </si>
  <si>
    <t>Reference Block (Linked)</t>
  </si>
  <si>
    <t>Explanation &amp; Interactive Switches (Soft Yellow / Blue Font = User Input)</t>
  </si>
  <si>
    <t>Operating Scenario Selector (Rows 7-17): Change cell F9 (1 = Base Case, 2 = Bull Case, 3 = Bear Case) to switch operating projections. Rows 21-32, Working Capital, and Capex represent 100% of Inditex Consolidated figures.</t>
  </si>
  <si>
    <t>P&amp;L &amp; Attributable LBO Perimeter (Rows 19-37): Models 100% of Inditex down to Adj. EBIT (Row 32) and scales Attributable Adj. EBIT (Row 33) by the % Stake Acquired (F168, default 64.35% = Amancio + Sandra Ortega) to deduct LBO interest and compute taxes.</t>
  </si>
  <si>
    <t>Operating Working Capital Schedule (Rows 43-49): Models 100% Inditex Inventory, Receivables, and Payables as % of Revenues. Attributable cash flow from WK is scaled by F168 in the Cash Flow Statement.</t>
  </si>
  <si>
    <t>Capex &amp; D&amp;A Schedule (Rows 52-73): Tracks 100% Inditex Owned PP&amp;E and Intangibles (€12,778m at FY25A close) and depreciates existing assets and new Capex vintages over 10 years.</t>
  </si>
  <si>
    <t>4-Tranche Debt &amp; Liquidity Schedule (Rows 76-135): Models (1A) Senior TLA (amortising), (1B) Senior TLB (bullet by default; adjustable Cash Sweep % in F183), (2) Subordinated Debt (adjustable Cash vs PIK switch in I180), (3) Ortega Family Vendor Loan (adjustable Cash vs PIK switch in I181), and (4) RCF.</t>
  </si>
  <si>
    <t>Adjustable Acquisition Perimeter &amp; Sources &amp; Uses (Rows 162-209): Adjust Stake Acquired % in F168 (default 64.35%), Offer Premium % in F165 (default 5.0%), TLB Cash Sweep % in F183 (default 0% bullet), and Cash/PIK switches in I180:I181 (0 = Cash Interest, 1 = PIK). Sponsor owns 100% of Newco.</t>
  </si>
  <si>
    <t>Exit Valuation, Returns (IRR / MoM) &amp; Integrity Checks (Rows 212-252): Evaluates Attributable Exit EV, net debt, and Sponsor IRR/MoM across FY26E-FY30E. Includes a 3x3 sensitivity table (Offer Premium x Total Debt Leverage) and 6 automated integrity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</si>
</sst>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&quot;- &quot;"/>
    <numFmt numFmtId="169" formatCode="0&quot;A&quot;"/>
    <numFmt numFmtId="171" formatCode="0&quot;E&quot;"/>
    <numFmt numFmtId="173" formatCode="#,##0.0%_);\(#,##0.0%\);&quot;- &quot;"/>
    <numFmt numFmtId="176" formatCode="0.0"/>
    <numFmt numFmtId="187" formatCode="#,##0.0&quot;x&quot;_);\(#,##0.0&quot;x&quot;\);&quot;- &quot;"/>
    <numFmt numFmtId="188" formatCode="#,##0.00_);\(#,##0.00\);&quot;- &quot;"/>
  </numFmts>
  <fonts count="14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F2F2F2"/>
      </patternFill>
    </fill>
    <fill>
      <patternFill patternType="solid">
        <fgColor rgb="FFF4F7FE"/>
      </patternFill>
    </fill>
    <fill>
      <patternFill patternType="solid">
        <fgColor rgb="FFFFF2CC"/>
      </patternFill>
    </fill>
    <fill>
      <patternFill patternType="solid">
        <fgColor rgb="FF99AAC3"/>
      </patternFill>
    </fill>
    <fill>
      <patternFill patternType="solid">
        <fgColor rgb="FFE6F4EA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6" fillId="0" borderId="0" xfId="0" applyFont="1"/>
    <xf numFmtId="0" fontId="7" fillId="4" borderId="0" xfId="0" applyFont="1" applyFill="1"/>
    <xf numFmtId="0" fontId="7" fillId="5" borderId="0" xfId="0" applyFont="1" applyFill="1"/>
    <xf numFmtId="0" fontId="7" fillId="5" borderId="0" xfId="0" applyFont="1" applyFill="1" applyAlignment="1">
      <alignment horizontal="center" vertical="center"/>
    </xf>
    <xf numFmtId="169" fontId="7" fillId="5" borderId="0" xfId="0" applyNumberFormat="1" applyFont="1" applyFill="1" applyAlignment="1">
      <alignment horizontal="center" vertical="center"/>
    </xf>
    <xf numFmtId="171" fontId="7" fillId="5" borderId="0" xfId="0" applyNumberFormat="1" applyFont="1" applyFill="1" applyAlignment="1">
      <alignment horizontal="center" vertical="center"/>
    </xf>
    <xf numFmtId="0" fontId="7" fillId="6" borderId="1" xfId="0" applyFont="1" applyFill="1" applyBorder="1"/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0" xfId="0" applyFont="1"/>
    <xf numFmtId="173" fontId="11" fillId="0" borderId="0" xfId="0" applyNumberFormat="1" applyFont="1" applyAlignment="1">
      <alignment horizontal="right" vertical="center"/>
    </xf>
    <xf numFmtId="173" fontId="7" fillId="6" borderId="0" xfId="0" applyNumberFormat="1" applyFont="1" applyFill="1" applyAlignment="1">
      <alignment horizontal="right" vertical="center"/>
    </xf>
    <xf numFmtId="173" fontId="12" fillId="0" borderId="0" xfId="0" applyNumberFormat="1" applyFont="1" applyAlignment="1">
      <alignment horizontal="right" vertical="center"/>
    </xf>
    <xf numFmtId="173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64" fontId="7" fillId="6" borderId="1" xfId="0" applyNumberFormat="1" applyFont="1" applyFill="1" applyBorder="1"/>
    <xf numFmtId="173" fontId="7" fillId="6" borderId="1" xfId="0" applyNumberFormat="1" applyFont="1" applyFill="1" applyBorder="1"/>
    <xf numFmtId="164" fontId="12" fillId="0" borderId="0" xfId="0" applyNumberFormat="1" applyFont="1"/>
    <xf numFmtId="173" fontId="10" fillId="0" borderId="0" xfId="0" applyNumberFormat="1" applyFont="1"/>
    <xf numFmtId="0" fontId="8" fillId="0" borderId="0" xfId="0" applyFont="1"/>
    <xf numFmtId="173" fontId="8" fillId="0" borderId="0" xfId="0" applyNumberFormat="1" applyFont="1"/>
    <xf numFmtId="164" fontId="11" fillId="0" borderId="0" xfId="0" applyNumberFormat="1" applyFont="1"/>
    <xf numFmtId="164" fontId="10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73" fontId="7" fillId="6" borderId="3" xfId="0" applyNumberFormat="1" applyFont="1" applyFill="1" applyBorder="1"/>
    <xf numFmtId="10" fontId="12" fillId="0" borderId="0" xfId="0" applyNumberFormat="1" applyFont="1"/>
    <xf numFmtId="164" fontId="8" fillId="0" borderId="0" xfId="0" applyNumberFormat="1" applyFont="1"/>
    <xf numFmtId="0" fontId="7" fillId="0" borderId="0" xfId="0" applyFont="1"/>
    <xf numFmtId="164" fontId="7" fillId="0" borderId="0" xfId="0" applyNumberFormat="1" applyFont="1"/>
    <xf numFmtId="173" fontId="11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0" fontId="7" fillId="6" borderId="0" xfId="0" applyFont="1" applyFill="1"/>
    <xf numFmtId="164" fontId="9" fillId="6" borderId="0" xfId="0" applyNumberFormat="1" applyFont="1" applyFill="1"/>
    <xf numFmtId="164" fontId="7" fillId="6" borderId="0" xfId="0" applyNumberFormat="1" applyFont="1" applyFill="1"/>
    <xf numFmtId="176" fontId="11" fillId="0" borderId="0" xfId="0" applyNumberFormat="1" applyFont="1"/>
    <xf numFmtId="0" fontId="7" fillId="0" borderId="0" xfId="0" applyFont="1" applyAlignment="1">
      <alignment horizontal="right" vertical="center"/>
    </xf>
    <xf numFmtId="171" fontId="10" fillId="0" borderId="0" xfId="0" applyNumberFormat="1" applyFont="1" applyAlignment="1">
      <alignment horizontal="center" vertical="center"/>
    </xf>
    <xf numFmtId="173" fontId="11" fillId="7" borderId="0" xfId="0" applyNumberFormat="1" applyFont="1" applyFill="1"/>
    <xf numFmtId="173" fontId="10" fillId="7" borderId="0" xfId="0" applyNumberFormat="1" applyFont="1" applyFill="1"/>
    <xf numFmtId="173" fontId="12" fillId="7" borderId="0" xfId="0" applyNumberFormat="1" applyFont="1" applyFill="1"/>
    <xf numFmtId="187" fontId="8" fillId="0" borderId="0" xfId="0" applyNumberFormat="1" applyFont="1"/>
    <xf numFmtId="164" fontId="7" fillId="0" borderId="0" xfId="0" applyNumberFormat="1" applyFont="1" applyAlignment="1">
      <alignment horizontal="right" vertical="center"/>
    </xf>
    <xf numFmtId="188" fontId="11" fillId="0" borderId="0" xfId="0" applyNumberFormat="1" applyFont="1" applyAlignment="1">
      <alignment horizontal="right" vertical="center"/>
    </xf>
    <xf numFmtId="187" fontId="7" fillId="0" borderId="0" xfId="0" applyNumberFormat="1" applyFont="1" applyAlignment="1">
      <alignment horizontal="right" vertical="center"/>
    </xf>
    <xf numFmtId="173" fontId="9" fillId="7" borderId="2" xfId="0" applyNumberFormat="1" applyFont="1" applyFill="1" applyBorder="1" applyAlignment="1">
      <alignment horizontal="right" vertical="center"/>
    </xf>
    <xf numFmtId="187" fontId="8" fillId="0" borderId="0" xfId="0" applyNumberFormat="1" applyFont="1" applyAlignment="1">
      <alignment horizontal="right" vertical="center"/>
    </xf>
    <xf numFmtId="188" fontId="7" fillId="0" borderId="0" xfId="0" applyNumberFormat="1" applyFont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87" fontId="9" fillId="0" borderId="0" xfId="0" applyNumberFormat="1" applyFont="1" applyAlignment="1">
      <alignment horizontal="right" vertical="center"/>
    </xf>
    <xf numFmtId="10" fontId="9" fillId="7" borderId="2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187" fontId="7" fillId="0" borderId="0" xfId="0" applyNumberFormat="1" applyFont="1"/>
    <xf numFmtId="10" fontId="7" fillId="0" borderId="0" xfId="0" applyNumberFormat="1" applyFont="1"/>
    <xf numFmtId="10" fontId="11" fillId="0" borderId="0" xfId="0" applyNumberFormat="1" applyFont="1"/>
    <xf numFmtId="187" fontId="11" fillId="0" borderId="0" xfId="0" applyNumberFormat="1" applyFont="1"/>
    <xf numFmtId="1" fontId="9" fillId="7" borderId="2" xfId="0" applyNumberFormat="1" applyFont="1" applyFill="1" applyBorder="1" applyAlignment="1">
      <alignment horizontal="center" vertical="center"/>
    </xf>
    <xf numFmtId="173" fontId="9" fillId="7" borderId="2" xfId="0" applyNumberFormat="1" applyFont="1" applyFill="1" applyBorder="1"/>
    <xf numFmtId="0" fontId="7" fillId="4" borderId="0" xfId="0" applyFont="1" applyFill="1" applyAlignment="1">
      <alignment horizontal="right" vertical="center"/>
    </xf>
    <xf numFmtId="0" fontId="11" fillId="0" borderId="0" xfId="0" applyFont="1"/>
    <xf numFmtId="173" fontId="7" fillId="0" borderId="0" xfId="0" applyNumberFormat="1" applyFont="1"/>
    <xf numFmtId="10" fontId="7" fillId="6" borderId="3" xfId="0" applyNumberFormat="1" applyFont="1" applyFill="1" applyBorder="1"/>
    <xf numFmtId="187" fontId="10" fillId="0" borderId="0" xfId="0" applyNumberFormat="1" applyFont="1"/>
    <xf numFmtId="0" fontId="7" fillId="8" borderId="0" xfId="0" applyFont="1" applyFill="1"/>
    <xf numFmtId="173" fontId="7" fillId="8" borderId="0" xfId="0" applyNumberFormat="1" applyFont="1" applyFill="1"/>
    <xf numFmtId="187" fontId="7" fillId="8" borderId="0" xfId="0" applyNumberFormat="1" applyFont="1" applyFill="1"/>
    <xf numFmtId="15" fontId="8" fillId="0" borderId="0" xfId="0" applyNumberFormat="1" applyFont="1" applyAlignment="1">
      <alignment horizontal="center" vertical="center"/>
    </xf>
    <xf numFmtId="171" fontId="7" fillId="0" borderId="0" xfId="0" applyNumberFormat="1" applyFont="1"/>
    <xf numFmtId="187" fontId="7" fillId="6" borderId="3" xfId="0" applyNumberFormat="1" applyFont="1" applyFill="1" applyBorder="1"/>
    <xf numFmtId="0" fontId="7" fillId="4" borderId="0" xfId="0" applyFont="1" applyFill="1" applyAlignment="1">
      <alignment horizontal="center" vertical="center"/>
    </xf>
    <xf numFmtId="187" fontId="9" fillId="4" borderId="0" xfId="0" applyNumberFormat="1" applyFont="1" applyFill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73" fontId="9" fillId="5" borderId="0" xfId="0" applyNumberFormat="1" applyFont="1" applyFill="1" applyAlignment="1">
      <alignment horizontal="right" vertical="center"/>
    </xf>
    <xf numFmtId="173" fontId="10" fillId="0" borderId="2" xfId="0" applyNumberFormat="1" applyFont="1" applyBorder="1"/>
    <xf numFmtId="187" fontId="10" fillId="0" borderId="2" xfId="0" applyNumberFormat="1" applyFont="1" applyBorder="1"/>
    <xf numFmtId="10" fontId="10" fillId="0" borderId="0" xfId="0" applyNumberFormat="1" applyFont="1"/>
    <xf numFmtId="173" fontId="7" fillId="6" borderId="2" xfId="0" applyNumberFormat="1" applyFont="1" applyFill="1" applyBorder="1"/>
    <xf numFmtId="187" fontId="7" fillId="6" borderId="2" xfId="0" applyNumberFormat="1" applyFont="1" applyFill="1" applyBorder="1"/>
    <xf numFmtId="0" fontId="7" fillId="5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Normal 2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esentation%202003%2010/Valuation/01%20Viceroy-Scholar%20Model.xls" TargetMode="External"/><Relationship Id="rId1" Type="http://schemas.openxmlformats.org/officeDocument/2006/relationships/externalLinkPath" Target="/Presentation%202003%2010/Valuation/01%20Viceroy-Scholar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32" customWidth="1"/>
    <col min="5" max="5" width="90" customWidth="1"/>
    <col min="6" max="6" width="16" customWidth="1"/>
  </cols>
  <sheetData>
    <row r="1" spans="1:6" ht="18" customHeight="1" x14ac:dyDescent="0.3">
      <c r="A1" s="2"/>
      <c r="B1" s="3" t="s">
        <v>0</v>
      </c>
      <c r="C1" s="2"/>
      <c r="D1" s="2"/>
      <c r="E1" s="2"/>
      <c r="F1" s="4" t="s">
        <v>3</v>
      </c>
    </row>
    <row r="2" spans="1:6" ht="16.05" customHeight="1" x14ac:dyDescent="0.25">
      <c r="A2" s="2"/>
      <c r="B2" s="5" t="s">
        <v>221</v>
      </c>
      <c r="C2" s="2"/>
      <c r="D2" s="2"/>
      <c r="E2" s="2"/>
      <c r="F2" s="2"/>
    </row>
    <row r="4" spans="1:6" ht="18" customHeight="1" x14ac:dyDescent="0.2">
      <c r="C4" s="6" t="s">
        <v>222</v>
      </c>
      <c r="D4" s="7" t="s">
        <v>223</v>
      </c>
      <c r="E4" s="7" t="s">
        <v>224</v>
      </c>
    </row>
    <row r="5" spans="1:6" ht="28.05" customHeight="1" x14ac:dyDescent="0.2">
      <c r="C5" s="8">
        <v>1</v>
      </c>
      <c r="D5" s="9" t="str">
        <f>+LBO!D9</f>
        <v>Active Scenario Selector (1=Base, 2=Bull, 3=Bear)</v>
      </c>
      <c r="E5" s="10" t="s">
        <v>225</v>
      </c>
    </row>
    <row r="6" spans="1:6" ht="28.05" customHeight="1" x14ac:dyDescent="0.2">
      <c r="C6" s="8">
        <v>2</v>
      </c>
      <c r="D6" s="9" t="str">
        <f>+LBO!D21</f>
        <v>Revenues (100% Inditex)</v>
      </c>
      <c r="E6" s="10" t="s">
        <v>226</v>
      </c>
    </row>
    <row r="7" spans="1:6" ht="28.05" customHeight="1" x14ac:dyDescent="0.2">
      <c r="C7" s="8">
        <v>3</v>
      </c>
      <c r="D7" s="9" t="str">
        <f>+LBO!D43</f>
        <v>WK (Operating Working Capital — 100% Inditex)</v>
      </c>
      <c r="E7" s="10" t="s">
        <v>227</v>
      </c>
    </row>
    <row r="8" spans="1:6" ht="28.05" customHeight="1" x14ac:dyDescent="0.2">
      <c r="C8" s="8">
        <v>4</v>
      </c>
      <c r="D8" s="9" t="str">
        <f>+LBO!D52</f>
        <v>Capex &amp; D&amp;A (Owned PP&amp;E + Intangibles — 100% Inditex)</v>
      </c>
      <c r="E8" s="10" t="s">
        <v>228</v>
      </c>
    </row>
    <row r="9" spans="1:6" ht="28.05" customHeight="1" x14ac:dyDescent="0.2">
      <c r="C9" s="8">
        <v>5</v>
      </c>
      <c r="D9" s="9" t="str">
        <f>+LBO!D76</f>
        <v>Debt Schedule (Senior TLA, Senior TLB, Subordinated Debt, Ortega Vendor Loan &amp; RCF)</v>
      </c>
      <c r="E9" s="10" t="s">
        <v>229</v>
      </c>
    </row>
    <row r="10" spans="1:6" ht="28.05" customHeight="1" x14ac:dyDescent="0.2">
      <c r="C10" s="8">
        <v>6</v>
      </c>
      <c r="D10" s="9" t="str">
        <f>+LBO!D163</f>
        <v>100% Inditex FY25A Pre-IFRS 16 Cash EBITDA (€m)</v>
      </c>
      <c r="E10" s="10" t="s">
        <v>230</v>
      </c>
    </row>
    <row r="11" spans="1:6" ht="28.05" customHeight="1" x14ac:dyDescent="0.2">
      <c r="C11" s="8">
        <v>7</v>
      </c>
      <c r="D11" s="9" t="str">
        <f>+LBO!D215</f>
        <v>EBITDA Exit Multiple (Pre-IFRS 16)</v>
      </c>
      <c r="E11" s="10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2"/>
  <sheetViews>
    <sheetView showGridLines="0" tabSelected="1" workbookViewId="0"/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.05" customHeight="1" x14ac:dyDescent="0.25">
      <c r="A2" s="5" t="s">
        <v>1</v>
      </c>
      <c r="B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4" t="s">
        <v>3</v>
      </c>
      <c r="V2" s="2"/>
    </row>
    <row r="5" spans="1:22" ht="16.05" customHeight="1" x14ac:dyDescent="0.2">
      <c r="A5" s="11" t="s">
        <v>4</v>
      </c>
      <c r="B5" s="11" t="s">
        <v>4</v>
      </c>
      <c r="C5" s="12" t="s">
        <v>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7" spans="1:22" x14ac:dyDescent="0.2">
      <c r="B7" s="11" t="s">
        <v>4</v>
      </c>
      <c r="C7" s="13" t="s">
        <v>6</v>
      </c>
      <c r="D7" s="13"/>
      <c r="E7" s="14" t="s">
        <v>7</v>
      </c>
      <c r="F7" s="14" t="s">
        <v>8</v>
      </c>
      <c r="G7" s="14" t="s">
        <v>9</v>
      </c>
      <c r="H7" s="14" t="s">
        <v>10</v>
      </c>
      <c r="I7" s="13"/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3"/>
      <c r="T7" s="13"/>
      <c r="U7" s="13"/>
      <c r="V7" s="13"/>
    </row>
    <row r="8" spans="1:22" x14ac:dyDescent="0.2">
      <c r="C8" s="13"/>
      <c r="D8" s="13" t="s">
        <v>12</v>
      </c>
      <c r="E8" s="14" t="s">
        <v>13</v>
      </c>
      <c r="F8" s="14" t="s">
        <v>14</v>
      </c>
      <c r="G8" s="14" t="s">
        <v>15</v>
      </c>
      <c r="H8" s="14" t="str">
        <f>CHOOSE($F$9,E8,F8,G8)</f>
        <v>Base Case</v>
      </c>
      <c r="I8" s="13"/>
      <c r="J8" s="15">
        <v>2022</v>
      </c>
      <c r="K8" s="15">
        <f t="shared" ref="K8:R8" si="0">+J8+1</f>
        <v>2023</v>
      </c>
      <c r="L8" s="15">
        <f t="shared" si="0"/>
        <v>2024</v>
      </c>
      <c r="M8" s="15">
        <f t="shared" si="0"/>
        <v>2025</v>
      </c>
      <c r="N8" s="16">
        <f t="shared" si="0"/>
        <v>2026</v>
      </c>
      <c r="O8" s="16">
        <f t="shared" si="0"/>
        <v>2027</v>
      </c>
      <c r="P8" s="16">
        <f t="shared" si="0"/>
        <v>2028</v>
      </c>
      <c r="Q8" s="16">
        <f t="shared" si="0"/>
        <v>2029</v>
      </c>
      <c r="R8" s="16">
        <f t="shared" si="0"/>
        <v>2030</v>
      </c>
      <c r="S8" s="13"/>
      <c r="T8" s="13"/>
      <c r="U8" s="13"/>
      <c r="V8" s="13"/>
    </row>
    <row r="9" spans="1:22" x14ac:dyDescent="0.2">
      <c r="B9" s="8">
        <v>1</v>
      </c>
      <c r="D9" s="17" t="s">
        <v>16</v>
      </c>
      <c r="E9" s="18" t="s">
        <v>17</v>
      </c>
      <c r="F9" s="19">
        <v>1</v>
      </c>
      <c r="G9" s="17"/>
      <c r="H9" s="20" t="str">
        <f>CHOOSE($F$9,E8,F8,G8)</f>
        <v>Base Case</v>
      </c>
    </row>
    <row r="10" spans="1:22" x14ac:dyDescent="0.2">
      <c r="D10" s="21" t="s">
        <v>18</v>
      </c>
      <c r="E10" s="22">
        <v>5.5E-2</v>
      </c>
      <c r="F10" s="22">
        <v>0.08</v>
      </c>
      <c r="G10" s="22">
        <v>2.2499999999999999E-2</v>
      </c>
      <c r="H10" s="23">
        <f t="shared" ref="H10:H17" si="1">CHOOSE($F$9,E10,F10,G10)</f>
        <v>5.5E-2</v>
      </c>
      <c r="J10" s="22">
        <v>0.17499999999999999</v>
      </c>
      <c r="K10" s="22">
        <v>0.104</v>
      </c>
      <c r="L10" s="22">
        <v>7.4999999999999997E-2</v>
      </c>
      <c r="M10" s="22">
        <v>3.2000000000000001E-2</v>
      </c>
      <c r="N10" s="24">
        <f t="shared" ref="N10:R17" si="2">+$H10</f>
        <v>5.5E-2</v>
      </c>
      <c r="O10" s="24">
        <f t="shared" si="2"/>
        <v>5.5E-2</v>
      </c>
      <c r="P10" s="24">
        <f t="shared" si="2"/>
        <v>5.5E-2</v>
      </c>
      <c r="Q10" s="24">
        <f t="shared" si="2"/>
        <v>5.5E-2</v>
      </c>
      <c r="R10" s="24">
        <f t="shared" si="2"/>
        <v>5.5E-2</v>
      </c>
    </row>
    <row r="11" spans="1:22" x14ac:dyDescent="0.2">
      <c r="D11" s="21" t="s">
        <v>19</v>
      </c>
      <c r="E11" s="22">
        <v>0.58199999999999996</v>
      </c>
      <c r="F11" s="22">
        <v>0.59</v>
      </c>
      <c r="G11" s="22">
        <v>0.56999999999999995</v>
      </c>
      <c r="H11" s="23">
        <f t="shared" si="1"/>
        <v>0.58199999999999996</v>
      </c>
      <c r="J11" s="25">
        <f>+J23/J$21</f>
        <v>0.56983634744695877</v>
      </c>
      <c r="K11" s="25">
        <f>+K23/K$21</f>
        <v>0.57757253734664926</v>
      </c>
      <c r="L11" s="25">
        <f>+L23/L$21</f>
        <v>0.57835473182853592</v>
      </c>
      <c r="M11" s="25">
        <f>+M23/M$21</f>
        <v>0.58253060405378287</v>
      </c>
      <c r="N11" s="24">
        <f t="shared" si="2"/>
        <v>0.58199999999999996</v>
      </c>
      <c r="O11" s="24">
        <f t="shared" si="2"/>
        <v>0.58199999999999996</v>
      </c>
      <c r="P11" s="24">
        <f t="shared" si="2"/>
        <v>0.58199999999999996</v>
      </c>
      <c r="Q11" s="24">
        <f t="shared" si="2"/>
        <v>0.58199999999999996</v>
      </c>
      <c r="R11" s="24">
        <f t="shared" si="2"/>
        <v>0.58199999999999996</v>
      </c>
    </row>
    <row r="12" spans="1:22" x14ac:dyDescent="0.2">
      <c r="D12" s="21" t="s">
        <v>20</v>
      </c>
      <c r="E12" s="22">
        <v>4.2500000000000003E-2</v>
      </c>
      <c r="F12" s="22">
        <v>5.5E-2</v>
      </c>
      <c r="G12" s="22">
        <v>3.2500000000000001E-2</v>
      </c>
      <c r="H12" s="23">
        <f t="shared" si="1"/>
        <v>4.2500000000000003E-2</v>
      </c>
      <c r="J12" s="22">
        <v>0.109</v>
      </c>
      <c r="K12" s="22">
        <v>0.1</v>
      </c>
      <c r="L12" s="22">
        <v>6.5000000000000002E-2</v>
      </c>
      <c r="M12" s="22">
        <v>2.8000000000000001E-2</v>
      </c>
      <c r="N12" s="24">
        <f t="shared" si="2"/>
        <v>4.2500000000000003E-2</v>
      </c>
      <c r="O12" s="24">
        <f t="shared" si="2"/>
        <v>4.2500000000000003E-2</v>
      </c>
      <c r="P12" s="24">
        <f t="shared" si="2"/>
        <v>4.2500000000000003E-2</v>
      </c>
      <c r="Q12" s="24">
        <f t="shared" si="2"/>
        <v>4.2500000000000003E-2</v>
      </c>
      <c r="R12" s="24">
        <f t="shared" si="2"/>
        <v>4.2500000000000003E-2</v>
      </c>
    </row>
    <row r="13" spans="1:22" x14ac:dyDescent="0.2">
      <c r="D13" s="21" t="s">
        <v>21</v>
      </c>
      <c r="E13" s="22">
        <v>0.02</v>
      </c>
      <c r="F13" s="22">
        <v>0.03</v>
      </c>
      <c r="G13" s="22">
        <v>0.01</v>
      </c>
      <c r="H13" s="23">
        <f t="shared" si="1"/>
        <v>0.02</v>
      </c>
      <c r="J13" s="22">
        <v>0.05</v>
      </c>
      <c r="K13" s="25">
        <f>+K28/J28-1</f>
        <v>6.9093152375077072E-2</v>
      </c>
      <c r="L13" s="25">
        <f>+L28/K28-1</f>
        <v>3.9815349105597253E-2</v>
      </c>
      <c r="M13" s="25">
        <f>+M28/L28-1</f>
        <v>1.7758046614872347E-2</v>
      </c>
      <c r="N13" s="24">
        <f t="shared" si="2"/>
        <v>0.02</v>
      </c>
      <c r="O13" s="24">
        <f t="shared" si="2"/>
        <v>0.02</v>
      </c>
      <c r="P13" s="24">
        <f t="shared" si="2"/>
        <v>0.02</v>
      </c>
      <c r="Q13" s="24">
        <f t="shared" si="2"/>
        <v>0.02</v>
      </c>
      <c r="R13" s="24">
        <f t="shared" si="2"/>
        <v>0.02</v>
      </c>
    </row>
    <row r="14" spans="1:22" x14ac:dyDescent="0.2">
      <c r="D14" s="21" t="s">
        <v>22</v>
      </c>
      <c r="E14" s="22">
        <v>5.1999999999999998E-2</v>
      </c>
      <c r="F14" s="22">
        <v>5.3499999999999999E-2</v>
      </c>
      <c r="G14" s="22">
        <v>4.9000000000000002E-2</v>
      </c>
      <c r="H14" s="23">
        <f t="shared" si="1"/>
        <v>5.1999999999999998E-2</v>
      </c>
      <c r="J14" s="25">
        <f>+J58/J$21</f>
        <v>4.3446221867419942E-2</v>
      </c>
      <c r="K14" s="25">
        <f>+K58/K$21</f>
        <v>5.2076668428519768E-2</v>
      </c>
      <c r="L14" s="25">
        <f>+L58/L$21</f>
        <v>6.916545868709878E-2</v>
      </c>
      <c r="M14" s="25">
        <f>+M58/M$21</f>
        <v>6.8031306441902473E-2</v>
      </c>
      <c r="N14" s="24">
        <f t="shared" si="2"/>
        <v>5.1999999999999998E-2</v>
      </c>
      <c r="O14" s="24">
        <f t="shared" si="2"/>
        <v>5.1999999999999998E-2</v>
      </c>
      <c r="P14" s="24">
        <f t="shared" si="2"/>
        <v>5.1999999999999998E-2</v>
      </c>
      <c r="Q14" s="24">
        <f t="shared" si="2"/>
        <v>5.1999999999999998E-2</v>
      </c>
      <c r="R14" s="24">
        <f t="shared" si="2"/>
        <v>5.1999999999999998E-2</v>
      </c>
    </row>
    <row r="15" spans="1:22" x14ac:dyDescent="0.2">
      <c r="D15" s="21" t="s">
        <v>23</v>
      </c>
      <c r="E15" s="22">
        <v>8.1500000000000003E-2</v>
      </c>
      <c r="F15" s="22">
        <v>7.9000000000000001E-2</v>
      </c>
      <c r="G15" s="22">
        <v>8.5000000000000006E-2</v>
      </c>
      <c r="H15" s="23">
        <f t="shared" si="1"/>
        <v>8.1500000000000003E-2</v>
      </c>
      <c r="J15" s="25">
        <f t="shared" ref="J15:M17" si="3">+J44/J$21</f>
        <v>9.7976603518683411E-2</v>
      </c>
      <c r="K15" s="25">
        <f t="shared" si="3"/>
        <v>8.251036247809275E-2</v>
      </c>
      <c r="L15" s="25">
        <f t="shared" si="3"/>
        <v>8.5965003106233173E-2</v>
      </c>
      <c r="M15" s="25">
        <f t="shared" si="3"/>
        <v>8.1502107164358822E-2</v>
      </c>
      <c r="N15" s="24">
        <f t="shared" si="2"/>
        <v>8.1500000000000003E-2</v>
      </c>
      <c r="O15" s="24">
        <f t="shared" si="2"/>
        <v>8.1500000000000003E-2</v>
      </c>
      <c r="P15" s="24">
        <f t="shared" si="2"/>
        <v>8.1500000000000003E-2</v>
      </c>
      <c r="Q15" s="24">
        <f t="shared" si="2"/>
        <v>8.1500000000000003E-2</v>
      </c>
      <c r="R15" s="24">
        <f t="shared" si="2"/>
        <v>8.1500000000000003E-2</v>
      </c>
    </row>
    <row r="16" spans="1:22" x14ac:dyDescent="0.2">
      <c r="D16" s="21" t="s">
        <v>24</v>
      </c>
      <c r="E16" s="22">
        <v>2.92E-2</v>
      </c>
      <c r="F16" s="22">
        <v>2.8500000000000001E-2</v>
      </c>
      <c r="G16" s="22">
        <v>0.03</v>
      </c>
      <c r="H16" s="23">
        <f t="shared" si="1"/>
        <v>2.92E-2</v>
      </c>
      <c r="J16" s="25">
        <f t="shared" si="3"/>
        <v>2.612914120789708E-2</v>
      </c>
      <c r="K16" s="25">
        <f t="shared" si="3"/>
        <v>2.8875844994018973E-2</v>
      </c>
      <c r="L16" s="25">
        <f t="shared" si="3"/>
        <v>2.8163180782770761E-2</v>
      </c>
      <c r="M16" s="25">
        <f t="shared" si="3"/>
        <v>2.9249448123620309E-2</v>
      </c>
      <c r="N16" s="24">
        <f t="shared" si="2"/>
        <v>2.92E-2</v>
      </c>
      <c r="O16" s="24">
        <f t="shared" si="2"/>
        <v>2.92E-2</v>
      </c>
      <c r="P16" s="24">
        <f t="shared" si="2"/>
        <v>2.92E-2</v>
      </c>
      <c r="Q16" s="24">
        <f t="shared" si="2"/>
        <v>2.92E-2</v>
      </c>
      <c r="R16" s="24">
        <f t="shared" si="2"/>
        <v>2.92E-2</v>
      </c>
    </row>
    <row r="17" spans="2:22" x14ac:dyDescent="0.2">
      <c r="D17" s="21" t="s">
        <v>25</v>
      </c>
      <c r="E17" s="22">
        <v>-0.21540000000000001</v>
      </c>
      <c r="F17" s="22">
        <v>-0.2155</v>
      </c>
      <c r="G17" s="22">
        <v>-0.21299999999999999</v>
      </c>
      <c r="H17" s="23">
        <f t="shared" si="1"/>
        <v>-0.21540000000000001</v>
      </c>
      <c r="J17" s="25">
        <f t="shared" si="3"/>
        <v>-0.20144923086370475</v>
      </c>
      <c r="K17" s="25">
        <f t="shared" si="3"/>
        <v>-0.20772248031824631</v>
      </c>
      <c r="L17" s="25">
        <f t="shared" si="3"/>
        <v>-0.22235452474632428</v>
      </c>
      <c r="M17" s="25">
        <f t="shared" si="3"/>
        <v>-0.21540738510937185</v>
      </c>
      <c r="N17" s="24">
        <f t="shared" si="2"/>
        <v>-0.21540000000000001</v>
      </c>
      <c r="O17" s="24">
        <f t="shared" si="2"/>
        <v>-0.21540000000000001</v>
      </c>
      <c r="P17" s="24">
        <f t="shared" si="2"/>
        <v>-0.21540000000000001</v>
      </c>
      <c r="Q17" s="24">
        <f t="shared" si="2"/>
        <v>-0.21540000000000001</v>
      </c>
      <c r="R17" s="24">
        <f t="shared" si="2"/>
        <v>-0.21540000000000001</v>
      </c>
    </row>
    <row r="19" spans="2:22" ht="13.95" customHeight="1" x14ac:dyDescent="0.2">
      <c r="B19" s="11" t="s">
        <v>4</v>
      </c>
      <c r="C19" s="13" t="s">
        <v>26</v>
      </c>
      <c r="D19" s="13"/>
      <c r="E19" s="13"/>
      <c r="F19" s="13"/>
      <c r="G19" s="13"/>
      <c r="H19" s="13"/>
      <c r="I19" s="13"/>
      <c r="J19" s="14" t="s">
        <v>11</v>
      </c>
      <c r="K19" s="14" t="s">
        <v>11</v>
      </c>
      <c r="L19" s="14" t="s">
        <v>11</v>
      </c>
      <c r="M19" s="14" t="s">
        <v>11</v>
      </c>
      <c r="N19" s="14" t="s">
        <v>11</v>
      </c>
      <c r="O19" s="14" t="s">
        <v>11</v>
      </c>
      <c r="P19" s="14" t="s">
        <v>11</v>
      </c>
      <c r="Q19" s="14" t="s">
        <v>11</v>
      </c>
      <c r="R19" s="14" t="s">
        <v>11</v>
      </c>
      <c r="S19" s="13"/>
      <c r="T19" s="13"/>
      <c r="U19" s="92" t="s">
        <v>27</v>
      </c>
      <c r="V19" s="92" t="s">
        <v>28</v>
      </c>
    </row>
    <row r="20" spans="2:22" ht="13.95" customHeight="1" x14ac:dyDescent="0.2">
      <c r="C20" s="13" t="s">
        <v>29</v>
      </c>
      <c r="D20" s="13"/>
      <c r="E20" s="13"/>
      <c r="F20" s="13"/>
      <c r="G20" s="13"/>
      <c r="H20" s="13"/>
      <c r="I20" s="13"/>
      <c r="J20" s="15">
        <v>2022</v>
      </c>
      <c r="K20" s="15">
        <f t="shared" ref="K20:R20" si="4">+J20+1</f>
        <v>2023</v>
      </c>
      <c r="L20" s="15">
        <f t="shared" si="4"/>
        <v>2024</v>
      </c>
      <c r="M20" s="15">
        <f t="shared" si="4"/>
        <v>2025</v>
      </c>
      <c r="N20" s="16">
        <f t="shared" si="4"/>
        <v>2026</v>
      </c>
      <c r="O20" s="16">
        <f t="shared" si="4"/>
        <v>2027</v>
      </c>
      <c r="P20" s="16">
        <f t="shared" si="4"/>
        <v>2028</v>
      </c>
      <c r="Q20" s="16">
        <f t="shared" si="4"/>
        <v>2029</v>
      </c>
      <c r="R20" s="16">
        <f t="shared" si="4"/>
        <v>2030</v>
      </c>
      <c r="S20" s="13"/>
      <c r="T20" s="13"/>
      <c r="U20" s="93"/>
      <c r="V20" s="93"/>
    </row>
    <row r="21" spans="2:22" x14ac:dyDescent="0.2">
      <c r="B21" s="8">
        <v>2</v>
      </c>
      <c r="D21" s="17" t="s">
        <v>30</v>
      </c>
      <c r="E21" s="17"/>
      <c r="F21" s="17"/>
      <c r="G21" s="17"/>
      <c r="H21" s="17"/>
      <c r="I21" s="17"/>
      <c r="J21" s="26">
        <v>32569</v>
      </c>
      <c r="K21" s="26">
        <v>35947</v>
      </c>
      <c r="L21" s="26">
        <v>38632</v>
      </c>
      <c r="M21" s="26">
        <v>39864</v>
      </c>
      <c r="N21" s="27">
        <f>+M21*(1+N10)</f>
        <v>42056.52</v>
      </c>
      <c r="O21" s="27">
        <f>+N21*(1+O10)</f>
        <v>44369.628599999996</v>
      </c>
      <c r="P21" s="27">
        <f>+O21*(1+P10)</f>
        <v>46809.958172999992</v>
      </c>
      <c r="Q21" s="27">
        <f>+P21*(1+Q10)</f>
        <v>49384.505872514987</v>
      </c>
      <c r="R21" s="27">
        <f>+Q21*(1+R10)</f>
        <v>52100.653695503308</v>
      </c>
      <c r="S21" s="17"/>
      <c r="T21" s="17"/>
      <c r="U21" s="28">
        <f t="shared" ref="U21:U33" si="5">+IFERROR((M21/J21)^(1/(M$20-J$20))-1,0)</f>
        <v>6.9692169565607642E-2</v>
      </c>
      <c r="V21" s="28">
        <f t="shared" ref="V21:V33" si="6">+IFERROR((R21/M21)^(1/(R$20-M$20))-1,"n.a.")</f>
        <v>5.4999999999999938E-2</v>
      </c>
    </row>
    <row r="22" spans="2:22" x14ac:dyDescent="0.2">
      <c r="D22" s="21" t="s">
        <v>31</v>
      </c>
      <c r="J22" s="29">
        <f t="shared" ref="J22:R22" si="7">+J23-J21</f>
        <v>-14010</v>
      </c>
      <c r="K22" s="29">
        <f t="shared" si="7"/>
        <v>-15185</v>
      </c>
      <c r="L22" s="29">
        <f t="shared" si="7"/>
        <v>-16289</v>
      </c>
      <c r="M22" s="29">
        <f t="shared" si="7"/>
        <v>-16642</v>
      </c>
      <c r="N22" s="29">
        <f t="shared" si="7"/>
        <v>-17579.625360000002</v>
      </c>
      <c r="O22" s="29">
        <f t="shared" si="7"/>
        <v>-18546.5047548</v>
      </c>
      <c r="P22" s="29">
        <f t="shared" si="7"/>
        <v>-19566.562516313999</v>
      </c>
      <c r="Q22" s="29">
        <f t="shared" si="7"/>
        <v>-20642.723454711268</v>
      </c>
      <c r="R22" s="29">
        <f t="shared" si="7"/>
        <v>-21778.073244720385</v>
      </c>
      <c r="U22" s="30">
        <f t="shared" si="5"/>
        <v>5.9064622247452236E-2</v>
      </c>
      <c r="V22" s="30">
        <f t="shared" si="6"/>
        <v>5.5268044988648457E-2</v>
      </c>
    </row>
    <row r="23" spans="2:22" x14ac:dyDescent="0.2">
      <c r="D23" s="17" t="s">
        <v>32</v>
      </c>
      <c r="E23" s="17"/>
      <c r="F23" s="17"/>
      <c r="G23" s="17"/>
      <c r="H23" s="17"/>
      <c r="I23" s="17"/>
      <c r="J23" s="26">
        <v>18559</v>
      </c>
      <c r="K23" s="26">
        <v>20762</v>
      </c>
      <c r="L23" s="26">
        <v>22343</v>
      </c>
      <c r="M23" s="26">
        <v>23222</v>
      </c>
      <c r="N23" s="27">
        <f>+N21*N11</f>
        <v>24476.894639999995</v>
      </c>
      <c r="O23" s="27">
        <f>+O21*O11</f>
        <v>25823.123845199996</v>
      </c>
      <c r="P23" s="27">
        <f>+P21*P11</f>
        <v>27243.395656685992</v>
      </c>
      <c r="Q23" s="27">
        <f>+Q21*Q11</f>
        <v>28741.782417803719</v>
      </c>
      <c r="R23" s="27">
        <f>+R21*R11</f>
        <v>30322.580450782923</v>
      </c>
      <c r="S23" s="17"/>
      <c r="T23" s="17"/>
      <c r="U23" s="28">
        <f t="shared" si="5"/>
        <v>7.7577090563288209E-2</v>
      </c>
      <c r="V23" s="28">
        <f t="shared" si="6"/>
        <v>5.4807738395338035E-2</v>
      </c>
    </row>
    <row r="24" spans="2:22" x14ac:dyDescent="0.2">
      <c r="D24" s="31" t="s">
        <v>33</v>
      </c>
      <c r="J24" s="32">
        <f t="shared" ref="J24:R24" si="8">+IFERROR(J23/J$21,0)</f>
        <v>0.56983634744695877</v>
      </c>
      <c r="K24" s="32">
        <f t="shared" si="8"/>
        <v>0.57757253734664926</v>
      </c>
      <c r="L24" s="32">
        <f t="shared" si="8"/>
        <v>0.57835473182853592</v>
      </c>
      <c r="M24" s="32">
        <f t="shared" si="8"/>
        <v>0.58253060405378287</v>
      </c>
      <c r="N24" s="32">
        <f t="shared" si="8"/>
        <v>0.58199999999999996</v>
      </c>
      <c r="O24" s="32">
        <f t="shared" si="8"/>
        <v>0.58199999999999996</v>
      </c>
      <c r="P24" s="32">
        <f t="shared" si="8"/>
        <v>0.58199999999999996</v>
      </c>
      <c r="Q24" s="32">
        <f t="shared" si="8"/>
        <v>0.58199999999999996</v>
      </c>
      <c r="R24" s="32">
        <f t="shared" si="8"/>
        <v>0.58199999999999996</v>
      </c>
      <c r="U24" s="30">
        <f t="shared" si="5"/>
        <v>7.3712056814276838E-3</v>
      </c>
      <c r="V24" s="30">
        <f t="shared" si="6"/>
        <v>-1.8223848783116559E-4</v>
      </c>
    </row>
    <row r="25" spans="2:22" x14ac:dyDescent="0.2">
      <c r="D25" s="21" t="s">
        <v>34</v>
      </c>
      <c r="J25" s="33">
        <v>-9910</v>
      </c>
      <c r="K25" s="33">
        <v>-10912</v>
      </c>
      <c r="L25" s="33">
        <v>-11615</v>
      </c>
      <c r="M25" s="33">
        <v>-11955</v>
      </c>
      <c r="N25" s="34">
        <f>+M25*(1+N12)</f>
        <v>-12463.0875</v>
      </c>
      <c r="O25" s="34">
        <f>+N25*(1+O12)</f>
        <v>-12992.76871875</v>
      </c>
      <c r="P25" s="34">
        <f>+O25*(1+P12)</f>
        <v>-13544.961389296874</v>
      </c>
      <c r="Q25" s="34">
        <f>+P25*(1+Q12)</f>
        <v>-14120.62224834199</v>
      </c>
      <c r="R25" s="34">
        <f>+Q25*(1+R12)</f>
        <v>-14720.748693896525</v>
      </c>
      <c r="U25" s="30">
        <f t="shared" si="5"/>
        <v>6.4531806498290267E-2</v>
      </c>
      <c r="V25" s="30">
        <f t="shared" si="6"/>
        <v>4.2499999999999982E-2</v>
      </c>
    </row>
    <row r="26" spans="2:22" x14ac:dyDescent="0.2">
      <c r="D26" s="17" t="s">
        <v>35</v>
      </c>
      <c r="E26" s="17"/>
      <c r="F26" s="17"/>
      <c r="G26" s="17"/>
      <c r="H26" s="17"/>
      <c r="I26" s="17"/>
      <c r="J26" s="27">
        <f t="shared" ref="J26:R26" si="9">+J23+J25</f>
        <v>8649</v>
      </c>
      <c r="K26" s="27">
        <f t="shared" si="9"/>
        <v>9850</v>
      </c>
      <c r="L26" s="27">
        <f t="shared" si="9"/>
        <v>10728</v>
      </c>
      <c r="M26" s="27">
        <f t="shared" si="9"/>
        <v>11267</v>
      </c>
      <c r="N26" s="27">
        <f t="shared" si="9"/>
        <v>12013.807139999995</v>
      </c>
      <c r="O26" s="27">
        <f t="shared" si="9"/>
        <v>12830.355126449997</v>
      </c>
      <c r="P26" s="27">
        <f t="shared" si="9"/>
        <v>13698.434267389119</v>
      </c>
      <c r="Q26" s="27">
        <f t="shared" si="9"/>
        <v>14621.160169461729</v>
      </c>
      <c r="R26" s="27">
        <f t="shared" si="9"/>
        <v>15601.831756886399</v>
      </c>
      <c r="S26" s="17"/>
      <c r="T26" s="17"/>
      <c r="U26" s="28">
        <f t="shared" si="5"/>
        <v>9.2146250392488138E-2</v>
      </c>
      <c r="V26" s="28">
        <f t="shared" si="6"/>
        <v>6.7267928928978815E-2</v>
      </c>
    </row>
    <row r="27" spans="2:22" x14ac:dyDescent="0.2">
      <c r="D27" s="31" t="s">
        <v>36</v>
      </c>
      <c r="J27" s="32">
        <f t="shared" ref="J27:R27" si="10">+IFERROR(J26/J$21,0)</f>
        <v>0.2655592741564064</v>
      </c>
      <c r="K27" s="32">
        <f t="shared" si="10"/>
        <v>0.27401452137869642</v>
      </c>
      <c r="L27" s="32">
        <f t="shared" si="10"/>
        <v>0.27769724580658522</v>
      </c>
      <c r="M27" s="32">
        <f t="shared" si="10"/>
        <v>0.28263596227172388</v>
      </c>
      <c r="N27" s="32">
        <f t="shared" si="10"/>
        <v>0.2856586122674914</v>
      </c>
      <c r="O27" s="32">
        <f t="shared" si="10"/>
        <v>0.28916976615057799</v>
      </c>
      <c r="P27" s="32">
        <f t="shared" si="10"/>
        <v>0.2926393186843389</v>
      </c>
      <c r="Q27" s="32">
        <f t="shared" si="10"/>
        <v>0.29606776277575669</v>
      </c>
      <c r="R27" s="32">
        <f t="shared" si="10"/>
        <v>0.29945558549168372</v>
      </c>
      <c r="U27" s="30">
        <f t="shared" si="5"/>
        <v>2.0991161257167157E-2</v>
      </c>
      <c r="V27" s="30">
        <f t="shared" si="6"/>
        <v>1.1628368653060495E-2</v>
      </c>
    </row>
    <row r="28" spans="2:22" x14ac:dyDescent="0.2">
      <c r="D28" s="21" t="s">
        <v>37</v>
      </c>
      <c r="J28" s="33">
        <v>-1621</v>
      </c>
      <c r="K28" s="33">
        <v>-1733</v>
      </c>
      <c r="L28" s="33">
        <v>-1802</v>
      </c>
      <c r="M28" s="33">
        <v>-1834</v>
      </c>
      <c r="N28" s="34">
        <f>+M28*(1+N13)</f>
        <v>-1870.68</v>
      </c>
      <c r="O28" s="34">
        <f>+N28*(1+O13)</f>
        <v>-1908.0936000000002</v>
      </c>
      <c r="P28" s="34">
        <f>+O28*(1+P13)</f>
        <v>-1946.2554720000003</v>
      </c>
      <c r="Q28" s="34">
        <f>+P28*(1+Q13)</f>
        <v>-1985.1805814400004</v>
      </c>
      <c r="R28" s="34">
        <f>+Q28*(1+R13)</f>
        <v>-2024.8841930688004</v>
      </c>
      <c r="U28" s="30">
        <f t="shared" si="5"/>
        <v>4.2010524630774926E-2</v>
      </c>
      <c r="V28" s="30">
        <f t="shared" si="6"/>
        <v>2.0000000000000018E-2</v>
      </c>
    </row>
    <row r="29" spans="2:22" x14ac:dyDescent="0.2">
      <c r="D29" s="35" t="s">
        <v>38</v>
      </c>
      <c r="E29" s="35"/>
      <c r="F29" s="35"/>
      <c r="G29" s="35"/>
      <c r="H29" s="35"/>
      <c r="I29" s="35"/>
      <c r="J29" s="36">
        <f t="shared" ref="J29:R29" si="11">+J26+J28</f>
        <v>7028</v>
      </c>
      <c r="K29" s="36">
        <f t="shared" si="11"/>
        <v>8117</v>
      </c>
      <c r="L29" s="36">
        <f t="shared" si="11"/>
        <v>8926</v>
      </c>
      <c r="M29" s="36">
        <f t="shared" si="11"/>
        <v>9433</v>
      </c>
      <c r="N29" s="36">
        <f t="shared" si="11"/>
        <v>10143.127139999995</v>
      </c>
      <c r="O29" s="36">
        <f t="shared" si="11"/>
        <v>10922.261526449996</v>
      </c>
      <c r="P29" s="36">
        <f t="shared" si="11"/>
        <v>11752.178795389118</v>
      </c>
      <c r="Q29" s="36">
        <f t="shared" si="11"/>
        <v>12635.979588021728</v>
      </c>
      <c r="R29" s="36">
        <f t="shared" si="11"/>
        <v>13576.947563817597</v>
      </c>
      <c r="S29" s="35"/>
      <c r="T29" s="35"/>
      <c r="U29" s="37">
        <f t="shared" si="5"/>
        <v>0.10307750263849003</v>
      </c>
      <c r="V29" s="37">
        <f t="shared" si="6"/>
        <v>7.5549644974216568E-2</v>
      </c>
    </row>
    <row r="30" spans="2:22" x14ac:dyDescent="0.2">
      <c r="D30" s="31" t="s">
        <v>39</v>
      </c>
      <c r="J30" s="32">
        <f t="shared" ref="J30:R30" si="12">+IFERROR(J29/J$21,0)</f>
        <v>0.21578801928213945</v>
      </c>
      <c r="K30" s="32">
        <f t="shared" si="12"/>
        <v>0.22580465685592679</v>
      </c>
      <c r="L30" s="32">
        <f t="shared" si="12"/>
        <v>0.23105197763512114</v>
      </c>
      <c r="M30" s="32">
        <f t="shared" si="12"/>
        <v>0.23662954043748746</v>
      </c>
      <c r="N30" s="32">
        <f t="shared" si="12"/>
        <v>0.24117846983059929</v>
      </c>
      <c r="O30" s="32">
        <f t="shared" si="12"/>
        <v>0.24616526824950699</v>
      </c>
      <c r="P30" s="32">
        <f t="shared" si="12"/>
        <v>0.25106151028709489</v>
      </c>
      <c r="Q30" s="32">
        <f t="shared" si="12"/>
        <v>0.25586931295093307</v>
      </c>
      <c r="R30" s="32">
        <f t="shared" si="12"/>
        <v>0.26059073352834716</v>
      </c>
      <c r="U30" s="30">
        <f t="shared" si="5"/>
        <v>3.1210224794334884E-2</v>
      </c>
      <c r="V30" s="30">
        <f t="shared" si="6"/>
        <v>1.9478336468451873E-2</v>
      </c>
    </row>
    <row r="31" spans="2:22" x14ac:dyDescent="0.2">
      <c r="D31" s="21" t="s">
        <v>40</v>
      </c>
      <c r="J31" s="29">
        <f t="shared" ref="J31:R31" si="13">+J56</f>
        <v>-1417</v>
      </c>
      <c r="K31" s="29">
        <f t="shared" si="13"/>
        <v>-1558</v>
      </c>
      <c r="L31" s="29">
        <f t="shared" si="13"/>
        <v>-1638</v>
      </c>
      <c r="M31" s="29">
        <f t="shared" si="13"/>
        <v>-1674</v>
      </c>
      <c r="N31" s="29">
        <f t="shared" si="13"/>
        <v>-1387.1469520000001</v>
      </c>
      <c r="O31" s="29">
        <f t="shared" si="13"/>
        <v>-1611.8549383599998</v>
      </c>
      <c r="P31" s="29">
        <f t="shared" si="13"/>
        <v>-1848.9218639697999</v>
      </c>
      <c r="Q31" s="29">
        <f t="shared" si="13"/>
        <v>-2099.0274704881385</v>
      </c>
      <c r="R31" s="29">
        <f t="shared" si="13"/>
        <v>-2362.8888853649864</v>
      </c>
      <c r="U31" s="30">
        <f t="shared" si="5"/>
        <v>5.7130332855993782E-2</v>
      </c>
      <c r="V31" s="30">
        <f t="shared" si="6"/>
        <v>7.1365282919122697E-2</v>
      </c>
    </row>
    <row r="32" spans="2:22" x14ac:dyDescent="0.2">
      <c r="D32" s="17" t="s">
        <v>41</v>
      </c>
      <c r="E32" s="17"/>
      <c r="F32" s="17"/>
      <c r="G32" s="17"/>
      <c r="H32" s="17"/>
      <c r="I32" s="17"/>
      <c r="J32" s="27">
        <f t="shared" ref="J32:R32" si="14">+J29+J31</f>
        <v>5611</v>
      </c>
      <c r="K32" s="27">
        <f t="shared" si="14"/>
        <v>6559</v>
      </c>
      <c r="L32" s="27">
        <f t="shared" si="14"/>
        <v>7288</v>
      </c>
      <c r="M32" s="27">
        <f t="shared" si="14"/>
        <v>7759</v>
      </c>
      <c r="N32" s="27">
        <f t="shared" si="14"/>
        <v>8755.9801879999941</v>
      </c>
      <c r="O32" s="27">
        <f t="shared" si="14"/>
        <v>9310.4065880899961</v>
      </c>
      <c r="P32" s="27">
        <f t="shared" si="14"/>
        <v>9903.2569314193188</v>
      </c>
      <c r="Q32" s="27">
        <f t="shared" si="14"/>
        <v>10536.95211753359</v>
      </c>
      <c r="R32" s="27">
        <f t="shared" si="14"/>
        <v>11214.058678452611</v>
      </c>
      <c r="S32" s="17"/>
      <c r="T32" s="17"/>
      <c r="U32" s="28">
        <f t="shared" si="5"/>
        <v>0.11409398049443942</v>
      </c>
      <c r="V32" s="28">
        <f t="shared" si="6"/>
        <v>7.6443933307820622E-2</v>
      </c>
    </row>
    <row r="33" spans="2:22" x14ac:dyDescent="0.2">
      <c r="D33" s="31" t="s">
        <v>42</v>
      </c>
      <c r="F33" s="38">
        <f>+F168</f>
        <v>0.64346999999999999</v>
      </c>
      <c r="J33" s="39">
        <f t="shared" ref="J33:R33" si="15">+J32*$F$168</f>
        <v>3610.51017</v>
      </c>
      <c r="K33" s="39">
        <f t="shared" si="15"/>
        <v>4220.51973</v>
      </c>
      <c r="L33" s="39">
        <f t="shared" si="15"/>
        <v>4689.6093599999995</v>
      </c>
      <c r="M33" s="39">
        <f t="shared" si="15"/>
        <v>4992.6837299999997</v>
      </c>
      <c r="N33" s="39">
        <f t="shared" si="15"/>
        <v>5634.2105715723565</v>
      </c>
      <c r="O33" s="39">
        <f t="shared" si="15"/>
        <v>5990.9673272382697</v>
      </c>
      <c r="P33" s="39">
        <f t="shared" si="15"/>
        <v>6372.4487376603893</v>
      </c>
      <c r="Q33" s="39">
        <f t="shared" si="15"/>
        <v>6780.212579069339</v>
      </c>
      <c r="R33" s="39">
        <f t="shared" si="15"/>
        <v>7215.9103378239015</v>
      </c>
      <c r="U33" s="30">
        <f t="shared" si="5"/>
        <v>0.11409398049443942</v>
      </c>
      <c r="V33" s="30">
        <f t="shared" si="6"/>
        <v>7.6443933307820622E-2</v>
      </c>
    </row>
    <row r="34" spans="2:22" x14ac:dyDescent="0.2">
      <c r="D34" s="21" t="s">
        <v>43</v>
      </c>
      <c r="F34" s="38">
        <f>+F177</f>
        <v>6.2142857142857139E-2</v>
      </c>
      <c r="J34" s="33">
        <v>-44.4</v>
      </c>
      <c r="K34" s="33">
        <v>39.200000000000003</v>
      </c>
      <c r="L34" s="33">
        <v>14.8</v>
      </c>
      <c r="M34" s="33">
        <v>14.8</v>
      </c>
      <c r="N34" s="29">
        <f>+N133</f>
        <v>-3942.5406211712493</v>
      </c>
      <c r="O34" s="29">
        <f>+O133</f>
        <v>-3879.9452671618747</v>
      </c>
      <c r="P34" s="29">
        <f>+P133</f>
        <v>-3792.3117715487497</v>
      </c>
      <c r="Q34" s="29">
        <f>+Q133</f>
        <v>-3680.3079602504713</v>
      </c>
      <c r="R34" s="29">
        <f>+R133</f>
        <v>-3542.5484046666188</v>
      </c>
    </row>
    <row r="35" spans="2:22" x14ac:dyDescent="0.2">
      <c r="D35" s="40" t="s">
        <v>44</v>
      </c>
      <c r="J35" s="41">
        <f t="shared" ref="J35:R35" si="16">+J33+J34</f>
        <v>3566.1101699999999</v>
      </c>
      <c r="K35" s="41">
        <f t="shared" si="16"/>
        <v>4259.7197299999998</v>
      </c>
      <c r="L35" s="41">
        <f t="shared" si="16"/>
        <v>4704.4093599999997</v>
      </c>
      <c r="M35" s="41">
        <f t="shared" si="16"/>
        <v>5007.4837299999999</v>
      </c>
      <c r="N35" s="41">
        <f t="shared" si="16"/>
        <v>1691.6699504011071</v>
      </c>
      <c r="O35" s="41">
        <f t="shared" si="16"/>
        <v>2111.0220600763951</v>
      </c>
      <c r="P35" s="41">
        <f t="shared" si="16"/>
        <v>2580.1369661116396</v>
      </c>
      <c r="Q35" s="41">
        <f t="shared" si="16"/>
        <v>3099.9046188188677</v>
      </c>
      <c r="R35" s="41">
        <f t="shared" si="16"/>
        <v>3673.3619331572827</v>
      </c>
      <c r="U35" s="30">
        <f>+IFERROR((M35/J35)^(1/(M$20-J$20))-1,0)</f>
        <v>0.11980292346747801</v>
      </c>
      <c r="V35" s="30">
        <f>+IFERROR((R35/M35)^(1/(R$20-M$20))-1,"n.a.")</f>
        <v>-6.00844495688313E-2</v>
      </c>
    </row>
    <row r="36" spans="2:22" x14ac:dyDescent="0.2">
      <c r="D36" s="21" t="s">
        <v>45</v>
      </c>
      <c r="F36" s="42">
        <v>0.224</v>
      </c>
      <c r="J36" s="33">
        <v>-779.2</v>
      </c>
      <c r="K36" s="33">
        <v>-949.1</v>
      </c>
      <c r="L36" s="33">
        <v>-1093.9000000000001</v>
      </c>
      <c r="M36" s="33">
        <v>-1158.2</v>
      </c>
      <c r="N36" s="34">
        <f>+IF(N35&gt;0,-N35*$F$36,0)</f>
        <v>-378.93406888984799</v>
      </c>
      <c r="O36" s="34">
        <f>+IF(O35&gt;0,-O35*$F$36,0)</f>
        <v>-472.8689414571125</v>
      </c>
      <c r="P36" s="34">
        <f>+IF(P35&gt;0,-P35*$F$36,0)</f>
        <v>-577.9506804090073</v>
      </c>
      <c r="Q36" s="34">
        <f>+IF(Q35&gt;0,-Q35*$F$36,0)</f>
        <v>-694.37863461542634</v>
      </c>
      <c r="R36" s="34">
        <f>+IF(R35&gt;0,-R35*$F$36,0)</f>
        <v>-822.83307302723131</v>
      </c>
      <c r="U36" s="30">
        <f>+IFERROR((M36/J36)^(1/(M$20-J$20))-1,0)</f>
        <v>0.14124320717933481</v>
      </c>
      <c r="V36" s="30">
        <f>+IFERROR((R36/M36)^(1/(R$20-M$20))-1,"n.a.")</f>
        <v>-6.6088688120411576E-2</v>
      </c>
    </row>
    <row r="37" spans="2:22" x14ac:dyDescent="0.2">
      <c r="D37" s="35" t="s">
        <v>46</v>
      </c>
      <c r="E37" s="35"/>
      <c r="F37" s="35"/>
      <c r="G37" s="35"/>
      <c r="H37" s="35"/>
      <c r="I37" s="35"/>
      <c r="J37" s="36">
        <f t="shared" ref="J37:R37" si="17">+J35+J36</f>
        <v>2786.9101700000001</v>
      </c>
      <c r="K37" s="36">
        <f t="shared" si="17"/>
        <v>3310.6197299999999</v>
      </c>
      <c r="L37" s="36">
        <f t="shared" si="17"/>
        <v>3610.5093599999996</v>
      </c>
      <c r="M37" s="36">
        <f t="shared" si="17"/>
        <v>3849.2837300000001</v>
      </c>
      <c r="N37" s="36">
        <f t="shared" si="17"/>
        <v>1312.7358815112591</v>
      </c>
      <c r="O37" s="36">
        <f t="shared" si="17"/>
        <v>1638.1531186192826</v>
      </c>
      <c r="P37" s="36">
        <f t="shared" si="17"/>
        <v>2002.1862857026322</v>
      </c>
      <c r="Q37" s="36">
        <f t="shared" si="17"/>
        <v>2405.5259842034411</v>
      </c>
      <c r="R37" s="36">
        <f t="shared" si="17"/>
        <v>2850.5288601300513</v>
      </c>
      <c r="S37" s="35"/>
      <c r="T37" s="35"/>
      <c r="U37" s="37">
        <f>+IFERROR((M37/J37)^(1/(M$20-J$20))-1,0)</f>
        <v>0.11365922239638726</v>
      </c>
      <c r="V37" s="37">
        <f>+IFERROR((R37/M37)^(1/(R$20-M$20))-1,"n.a.")</f>
        <v>-5.8307517086756633E-2</v>
      </c>
    </row>
    <row r="40" spans="2:22" ht="13.95" customHeight="1" x14ac:dyDescent="0.2">
      <c r="B40" s="11" t="s">
        <v>4</v>
      </c>
      <c r="C40" s="13" t="s">
        <v>47</v>
      </c>
      <c r="D40" s="13"/>
      <c r="E40" s="13"/>
      <c r="F40" s="13"/>
      <c r="G40" s="13"/>
      <c r="H40" s="13"/>
      <c r="I40" s="13"/>
      <c r="J40" s="14" t="s">
        <v>11</v>
      </c>
      <c r="K40" s="14" t="s">
        <v>11</v>
      </c>
      <c r="L40" s="14" t="s">
        <v>11</v>
      </c>
      <c r="M40" s="14" t="s">
        <v>11</v>
      </c>
      <c r="N40" s="14" t="s">
        <v>11</v>
      </c>
      <c r="O40" s="14" t="s">
        <v>11</v>
      </c>
      <c r="P40" s="14" t="s">
        <v>11</v>
      </c>
      <c r="Q40" s="14" t="s">
        <v>11</v>
      </c>
      <c r="R40" s="14" t="s">
        <v>11</v>
      </c>
      <c r="S40" s="13"/>
      <c r="T40" s="13"/>
      <c r="U40" s="13"/>
      <c r="V40" s="13"/>
    </row>
    <row r="41" spans="2:22" ht="13.95" customHeight="1" x14ac:dyDescent="0.2">
      <c r="C41" s="13" t="s">
        <v>29</v>
      </c>
      <c r="D41" s="13"/>
      <c r="E41" s="13"/>
      <c r="F41" s="13"/>
      <c r="G41" s="13"/>
      <c r="H41" s="13"/>
      <c r="I41" s="13"/>
      <c r="J41" s="15">
        <f>+J20</f>
        <v>2022</v>
      </c>
      <c r="K41" s="15">
        <f t="shared" ref="K41:R41" si="18">+J41+1</f>
        <v>2023</v>
      </c>
      <c r="L41" s="15">
        <f t="shared" si="18"/>
        <v>2024</v>
      </c>
      <c r="M41" s="15">
        <f t="shared" si="18"/>
        <v>2025</v>
      </c>
      <c r="N41" s="16">
        <f t="shared" si="18"/>
        <v>2026</v>
      </c>
      <c r="O41" s="16">
        <f t="shared" si="18"/>
        <v>2027</v>
      </c>
      <c r="P41" s="16">
        <f t="shared" si="18"/>
        <v>2028</v>
      </c>
      <c r="Q41" s="16">
        <f t="shared" si="18"/>
        <v>2029</v>
      </c>
      <c r="R41" s="16">
        <f t="shared" si="18"/>
        <v>2030</v>
      </c>
      <c r="S41" s="13"/>
      <c r="T41" s="13"/>
      <c r="U41" s="13"/>
      <c r="V41" s="13"/>
    </row>
    <row r="43" spans="2:22" x14ac:dyDescent="0.2">
      <c r="B43" s="8">
        <v>3</v>
      </c>
      <c r="C43" s="11" t="s">
        <v>4</v>
      </c>
      <c r="D43" s="40" t="s">
        <v>48</v>
      </c>
    </row>
    <row r="44" spans="2:22" x14ac:dyDescent="0.2">
      <c r="D44" s="21" t="s">
        <v>49</v>
      </c>
      <c r="J44" s="33">
        <v>3191</v>
      </c>
      <c r="K44" s="33">
        <v>2966</v>
      </c>
      <c r="L44" s="33">
        <v>3321</v>
      </c>
      <c r="M44" s="33">
        <v>3249</v>
      </c>
      <c r="N44" s="34">
        <f t="shared" ref="N44:R46" si="19">+N$21*N15</f>
        <v>3427.6063799999997</v>
      </c>
      <c r="O44" s="34">
        <f t="shared" si="19"/>
        <v>3616.1247309</v>
      </c>
      <c r="P44" s="34">
        <f t="shared" si="19"/>
        <v>3815.0115910994996</v>
      </c>
      <c r="Q44" s="34">
        <f t="shared" si="19"/>
        <v>4024.8372286099716</v>
      </c>
      <c r="R44" s="34">
        <f t="shared" si="19"/>
        <v>4246.2032761835198</v>
      </c>
    </row>
    <row r="45" spans="2:22" x14ac:dyDescent="0.2">
      <c r="D45" s="21" t="s">
        <v>50</v>
      </c>
      <c r="J45" s="33">
        <v>851</v>
      </c>
      <c r="K45" s="33">
        <v>1038</v>
      </c>
      <c r="L45" s="33">
        <v>1088</v>
      </c>
      <c r="M45" s="33">
        <v>1166</v>
      </c>
      <c r="N45" s="34">
        <f t="shared" si="19"/>
        <v>1228.0503839999999</v>
      </c>
      <c r="O45" s="34">
        <f t="shared" si="19"/>
        <v>1295.5931551199999</v>
      </c>
      <c r="P45" s="34">
        <f t="shared" si="19"/>
        <v>1366.8507786515997</v>
      </c>
      <c r="Q45" s="34">
        <f t="shared" si="19"/>
        <v>1442.0275714774377</v>
      </c>
      <c r="R45" s="34">
        <f t="shared" si="19"/>
        <v>1521.3390879086967</v>
      </c>
    </row>
    <row r="46" spans="2:22" x14ac:dyDescent="0.2">
      <c r="D46" s="21" t="s">
        <v>51</v>
      </c>
      <c r="J46" s="33">
        <v>-6561</v>
      </c>
      <c r="K46" s="33">
        <v>-7467</v>
      </c>
      <c r="L46" s="33">
        <v>-8590</v>
      </c>
      <c r="M46" s="33">
        <v>-8587</v>
      </c>
      <c r="N46" s="34">
        <f t="shared" si="19"/>
        <v>-9058.974408</v>
      </c>
      <c r="O46" s="34">
        <f t="shared" si="19"/>
        <v>-9557.2180004399997</v>
      </c>
      <c r="P46" s="34">
        <f t="shared" si="19"/>
        <v>-10082.864990464199</v>
      </c>
      <c r="Q46" s="34">
        <f t="shared" si="19"/>
        <v>-10637.422564939729</v>
      </c>
      <c r="R46" s="34">
        <f t="shared" si="19"/>
        <v>-11222.480806011414</v>
      </c>
    </row>
    <row r="47" spans="2:22" x14ac:dyDescent="0.2">
      <c r="D47" s="17" t="s">
        <v>52</v>
      </c>
      <c r="E47" s="17"/>
      <c r="F47" s="17"/>
      <c r="G47" s="17"/>
      <c r="H47" s="17"/>
      <c r="I47" s="17"/>
      <c r="J47" s="27">
        <f t="shared" ref="J47:R47" si="20">+SUM(J44:J46)</f>
        <v>-2519</v>
      </c>
      <c r="K47" s="27">
        <f t="shared" si="20"/>
        <v>-3463</v>
      </c>
      <c r="L47" s="27">
        <f t="shared" si="20"/>
        <v>-4181</v>
      </c>
      <c r="M47" s="27">
        <f t="shared" si="20"/>
        <v>-4172</v>
      </c>
      <c r="N47" s="27">
        <f t="shared" si="20"/>
        <v>-4403.3176440000007</v>
      </c>
      <c r="O47" s="27">
        <f t="shared" si="20"/>
        <v>-4645.5001144199996</v>
      </c>
      <c r="P47" s="27">
        <f t="shared" si="20"/>
        <v>-4901.0026207130995</v>
      </c>
      <c r="Q47" s="27">
        <f t="shared" si="20"/>
        <v>-5170.5577648523195</v>
      </c>
      <c r="R47" s="27">
        <f t="shared" si="20"/>
        <v>-5454.9384419191974</v>
      </c>
    </row>
    <row r="48" spans="2:22" x14ac:dyDescent="0.2">
      <c r="D48" s="31" t="s">
        <v>53</v>
      </c>
      <c r="J48" s="32">
        <f t="shared" ref="J48:R48" si="21">+IFERROR(J47/J$21,0)</f>
        <v>-7.7343486137124259E-2</v>
      </c>
      <c r="K48" s="32">
        <f t="shared" si="21"/>
        <v>-9.6336272846134594E-2</v>
      </c>
      <c r="L48" s="32">
        <f t="shared" si="21"/>
        <v>-0.10822634085732036</v>
      </c>
      <c r="M48" s="32">
        <f t="shared" si="21"/>
        <v>-0.10465582982139274</v>
      </c>
      <c r="N48" s="32">
        <f t="shared" si="21"/>
        <v>-0.10470000000000003</v>
      </c>
      <c r="O48" s="32">
        <f t="shared" si="21"/>
        <v>-0.1047</v>
      </c>
      <c r="P48" s="32">
        <f t="shared" si="21"/>
        <v>-0.1047</v>
      </c>
      <c r="Q48" s="32">
        <f t="shared" si="21"/>
        <v>-0.1047</v>
      </c>
      <c r="R48" s="32">
        <f t="shared" si="21"/>
        <v>-0.10470000000000002</v>
      </c>
    </row>
    <row r="49" spans="2:18" x14ac:dyDescent="0.2">
      <c r="D49" s="35" t="s">
        <v>54</v>
      </c>
      <c r="E49" s="35"/>
      <c r="F49" s="35"/>
      <c r="G49" s="35"/>
      <c r="H49" s="35"/>
      <c r="I49" s="35"/>
      <c r="J49" s="43">
        <v>0</v>
      </c>
      <c r="K49" s="36">
        <f t="shared" ref="K49:R49" si="22">+(J47-K47)</f>
        <v>944</v>
      </c>
      <c r="L49" s="36">
        <f t="shared" si="22"/>
        <v>718</v>
      </c>
      <c r="M49" s="36">
        <f t="shared" si="22"/>
        <v>-9</v>
      </c>
      <c r="N49" s="36">
        <f t="shared" si="22"/>
        <v>231.31764400000066</v>
      </c>
      <c r="O49" s="36">
        <f t="shared" si="22"/>
        <v>242.18247041999894</v>
      </c>
      <c r="P49" s="36">
        <f t="shared" si="22"/>
        <v>255.50250629309994</v>
      </c>
      <c r="Q49" s="36">
        <f t="shared" si="22"/>
        <v>269.55514413921992</v>
      </c>
      <c r="R49" s="36">
        <f t="shared" si="22"/>
        <v>284.38067706687798</v>
      </c>
    </row>
    <row r="52" spans="2:18" x14ac:dyDescent="0.2">
      <c r="B52" s="8">
        <v>4</v>
      </c>
      <c r="C52" s="11" t="s">
        <v>4</v>
      </c>
      <c r="D52" s="40" t="s">
        <v>55</v>
      </c>
    </row>
    <row r="54" spans="2:18" x14ac:dyDescent="0.2">
      <c r="D54" s="21" t="s">
        <v>56</v>
      </c>
      <c r="J54" s="33">
        <v>8383</v>
      </c>
      <c r="K54" s="34">
        <f t="shared" ref="K54:R54" si="23">+J57</f>
        <v>8401</v>
      </c>
      <c r="L54" s="34">
        <f t="shared" si="23"/>
        <v>9560</v>
      </c>
      <c r="M54" s="34">
        <f t="shared" si="23"/>
        <v>11416</v>
      </c>
      <c r="N54" s="34">
        <f t="shared" si="23"/>
        <v>12778</v>
      </c>
      <c r="O54" s="34">
        <f t="shared" si="23"/>
        <v>13577.792087999998</v>
      </c>
      <c r="P54" s="34">
        <f t="shared" si="23"/>
        <v>14273.157836839997</v>
      </c>
      <c r="Q54" s="34">
        <f t="shared" si="23"/>
        <v>14858.353797866197</v>
      </c>
      <c r="R54" s="34">
        <f t="shared" si="23"/>
        <v>15327.320632748837</v>
      </c>
    </row>
    <row r="55" spans="2:18" x14ac:dyDescent="0.2">
      <c r="D55" s="21" t="s">
        <v>57</v>
      </c>
      <c r="J55" s="29">
        <f t="shared" ref="J55:R55" si="24">+J58</f>
        <v>1415</v>
      </c>
      <c r="K55" s="29">
        <f t="shared" si="24"/>
        <v>1872</v>
      </c>
      <c r="L55" s="29">
        <f t="shared" si="24"/>
        <v>2672</v>
      </c>
      <c r="M55" s="29">
        <f t="shared" si="24"/>
        <v>2712</v>
      </c>
      <c r="N55" s="29">
        <f t="shared" si="24"/>
        <v>2186.9390399999997</v>
      </c>
      <c r="O55" s="29">
        <f t="shared" si="24"/>
        <v>2307.2206871999997</v>
      </c>
      <c r="P55" s="29">
        <f t="shared" si="24"/>
        <v>2434.1178249959994</v>
      </c>
      <c r="Q55" s="29">
        <f t="shared" si="24"/>
        <v>2567.9943053707793</v>
      </c>
      <c r="R55" s="29">
        <f t="shared" si="24"/>
        <v>2709.2339921661719</v>
      </c>
    </row>
    <row r="56" spans="2:18" x14ac:dyDescent="0.2">
      <c r="D56" s="21" t="s">
        <v>58</v>
      </c>
      <c r="J56" s="33">
        <v>-1417</v>
      </c>
      <c r="K56" s="33">
        <v>-1558</v>
      </c>
      <c r="L56" s="33">
        <v>-1638</v>
      </c>
      <c r="M56" s="33">
        <v>-1674</v>
      </c>
      <c r="N56" s="34">
        <f>+N62+N73</f>
        <v>-1387.1469520000001</v>
      </c>
      <c r="O56" s="34">
        <f>+O62+O73</f>
        <v>-1611.8549383599998</v>
      </c>
      <c r="P56" s="34">
        <f>+P62+P73</f>
        <v>-1848.9218639697999</v>
      </c>
      <c r="Q56" s="34">
        <f>+Q62+Q73</f>
        <v>-2099.0274704881385</v>
      </c>
      <c r="R56" s="34">
        <f>+R62+R73</f>
        <v>-2362.8888853649864</v>
      </c>
    </row>
    <row r="57" spans="2:18" x14ac:dyDescent="0.2">
      <c r="D57" s="35" t="s">
        <v>59</v>
      </c>
      <c r="E57" s="35"/>
      <c r="F57" s="35"/>
      <c r="G57" s="35"/>
      <c r="H57" s="35"/>
      <c r="I57" s="35"/>
      <c r="J57" s="44">
        <v>8401</v>
      </c>
      <c r="K57" s="44">
        <v>9560</v>
      </c>
      <c r="L57" s="44">
        <v>11416</v>
      </c>
      <c r="M57" s="44">
        <v>12778</v>
      </c>
      <c r="N57" s="36">
        <f>+N54+N55+N56</f>
        <v>13577.792087999998</v>
      </c>
      <c r="O57" s="36">
        <f>+O54+O55+O56</f>
        <v>14273.157836839997</v>
      </c>
      <c r="P57" s="36">
        <f>+P54+P55+P56</f>
        <v>14858.353797866197</v>
      </c>
      <c r="Q57" s="36">
        <f>+Q54+Q55+Q56</f>
        <v>15327.320632748837</v>
      </c>
      <c r="R57" s="36">
        <f>+R54+R55+R56</f>
        <v>15673.665739550024</v>
      </c>
    </row>
    <row r="58" spans="2:18" x14ac:dyDescent="0.2">
      <c r="D58" s="45" t="s">
        <v>60</v>
      </c>
      <c r="E58" s="45"/>
      <c r="F58" s="45"/>
      <c r="G58" s="45"/>
      <c r="H58" s="45"/>
      <c r="I58" s="45"/>
      <c r="J58" s="46">
        <v>1415</v>
      </c>
      <c r="K58" s="46">
        <v>1872</v>
      </c>
      <c r="L58" s="46">
        <v>2672</v>
      </c>
      <c r="M58" s="46">
        <v>2712</v>
      </c>
      <c r="N58" s="47">
        <f>+N21*N14</f>
        <v>2186.9390399999997</v>
      </c>
      <c r="O58" s="47">
        <f>+O21*O14</f>
        <v>2307.2206871999997</v>
      </c>
      <c r="P58" s="47">
        <f>+P21*P14</f>
        <v>2434.1178249959994</v>
      </c>
      <c r="Q58" s="47">
        <f>+Q21*Q14</f>
        <v>2567.9943053707793</v>
      </c>
      <c r="R58" s="47">
        <f>+R21*R14</f>
        <v>2709.2339921661719</v>
      </c>
    </row>
    <row r="60" spans="2:18" x14ac:dyDescent="0.2">
      <c r="D60" s="40" t="s">
        <v>61</v>
      </c>
    </row>
    <row r="61" spans="2:18" x14ac:dyDescent="0.2">
      <c r="D61" s="21" t="s">
        <v>62</v>
      </c>
      <c r="N61" s="34">
        <f>+M63</f>
        <v>12778</v>
      </c>
      <c r="O61" s="34">
        <f>+N63</f>
        <v>11500.2</v>
      </c>
      <c r="P61" s="34">
        <f>+O63</f>
        <v>10222.400000000001</v>
      </c>
      <c r="Q61" s="34">
        <f>+P63</f>
        <v>8944.6000000000022</v>
      </c>
      <c r="R61" s="34">
        <f>+Q63</f>
        <v>7666.800000000002</v>
      </c>
    </row>
    <row r="62" spans="2:18" x14ac:dyDescent="0.2">
      <c r="D62" s="21" t="s">
        <v>63</v>
      </c>
      <c r="N62" s="34">
        <f>-MIN(N61,$M$63/$E$65)</f>
        <v>-1277.8</v>
      </c>
      <c r="O62" s="34">
        <f>-MIN(O61,$M$63/$E$65)</f>
        <v>-1277.8</v>
      </c>
      <c r="P62" s="34">
        <f>-MIN(P61,$M$63/$E$65)</f>
        <v>-1277.8</v>
      </c>
      <c r="Q62" s="34">
        <f>-MIN(Q61,$M$63/$E$65)</f>
        <v>-1277.8</v>
      </c>
      <c r="R62" s="34">
        <f>-MIN(R61,$M$63/$E$65)</f>
        <v>-1277.8</v>
      </c>
    </row>
    <row r="63" spans="2:18" x14ac:dyDescent="0.2">
      <c r="D63" s="40" t="s">
        <v>64</v>
      </c>
      <c r="M63" s="41">
        <f>+M57</f>
        <v>12778</v>
      </c>
      <c r="N63" s="41">
        <f>+N61+N62</f>
        <v>11500.2</v>
      </c>
      <c r="O63" s="41">
        <f>+O61+O62</f>
        <v>10222.400000000001</v>
      </c>
      <c r="P63" s="41">
        <f>+P61+P62</f>
        <v>8944.6000000000022</v>
      </c>
      <c r="Q63" s="41">
        <f>+Q61+Q62</f>
        <v>7666.800000000002</v>
      </c>
      <c r="R63" s="41">
        <f>+R61+R62</f>
        <v>6389.0000000000018</v>
      </c>
    </row>
    <row r="65" spans="2:22" x14ac:dyDescent="0.2">
      <c r="D65" s="21" t="s">
        <v>65</v>
      </c>
      <c r="E65" s="48">
        <v>10</v>
      </c>
    </row>
    <row r="66" spans="2:22" x14ac:dyDescent="0.2">
      <c r="D66" s="21" t="s">
        <v>66</v>
      </c>
      <c r="E66" s="42">
        <v>0.5</v>
      </c>
    </row>
    <row r="67" spans="2:22" x14ac:dyDescent="0.2">
      <c r="G67" s="40" t="s">
        <v>67</v>
      </c>
      <c r="H67" s="49" t="s">
        <v>68</v>
      </c>
    </row>
    <row r="68" spans="2:22" x14ac:dyDescent="0.2">
      <c r="G68" s="50">
        <f>+N$20</f>
        <v>2026</v>
      </c>
      <c r="H68" s="29">
        <f>+N$58</f>
        <v>2186.9390399999997</v>
      </c>
      <c r="N68" s="34">
        <f>-(($H68/$E$65*$E$66))</f>
        <v>-109.34695199999999</v>
      </c>
      <c r="O68" s="34">
        <f>-(MIN(SUM($H68,$N68:N68),$H68/$E$65))</f>
        <v>-218.69390399999997</v>
      </c>
      <c r="P68" s="34">
        <f>-(MIN(SUM($H68,$N68:O68),$H68/$E$65))</f>
        <v>-218.69390399999997</v>
      </c>
      <c r="Q68" s="34">
        <f>-(MIN(SUM($H68,$N68:P68),$H68/$E$65))</f>
        <v>-218.69390399999997</v>
      </c>
      <c r="R68" s="34">
        <f>-(MIN(SUM($H68,$N68:Q68),$H68/$E$65))</f>
        <v>-218.69390399999997</v>
      </c>
    </row>
    <row r="69" spans="2:22" x14ac:dyDescent="0.2">
      <c r="G69" s="50">
        <f>+O$20</f>
        <v>2027</v>
      </c>
      <c r="H69" s="29">
        <f>+O$58</f>
        <v>2307.2206871999997</v>
      </c>
      <c r="N69" s="34">
        <v>0</v>
      </c>
      <c r="O69" s="34">
        <f>-(($H69/$E$65*$E$66))</f>
        <v>-115.36103435999999</v>
      </c>
      <c r="P69" s="34">
        <f>-(MIN(SUM($H69,$O69:O69),$H69/$E$65))</f>
        <v>-230.72206871999998</v>
      </c>
      <c r="Q69" s="34">
        <f>-(MIN(SUM($H69,$O69:P69),$H69/$E$65))</f>
        <v>-230.72206871999998</v>
      </c>
      <c r="R69" s="34">
        <f>-(MIN(SUM($H69,$O69:Q69),$H69/$E$65))</f>
        <v>-230.72206871999998</v>
      </c>
    </row>
    <row r="70" spans="2:22" x14ac:dyDescent="0.2">
      <c r="G70" s="50">
        <f>+P$20</f>
        <v>2028</v>
      </c>
      <c r="H70" s="29">
        <f>+P$58</f>
        <v>2434.1178249959994</v>
      </c>
      <c r="N70" s="34">
        <v>0</v>
      </c>
      <c r="O70" s="34">
        <v>0</v>
      </c>
      <c r="P70" s="34">
        <f>-(($H70/$E$65*$E$66))</f>
        <v>-121.70589124979998</v>
      </c>
      <c r="Q70" s="34">
        <f>-(MIN(SUM($H70,$P70:P70),$H70/$E$65))</f>
        <v>-243.41178249959995</v>
      </c>
      <c r="R70" s="34">
        <f>-(MIN(SUM($H70,$P70:Q70),$H70/$E$65))</f>
        <v>-243.41178249959995</v>
      </c>
    </row>
    <row r="71" spans="2:22" x14ac:dyDescent="0.2">
      <c r="G71" s="50">
        <f>+Q$20</f>
        <v>2029</v>
      </c>
      <c r="H71" s="29">
        <f>+Q$58</f>
        <v>2567.9943053707793</v>
      </c>
      <c r="N71" s="34">
        <v>0</v>
      </c>
      <c r="O71" s="34">
        <v>0</v>
      </c>
      <c r="P71" s="34">
        <v>0</v>
      </c>
      <c r="Q71" s="34">
        <f>-(($H71/$E$65*$E$66))</f>
        <v>-128.39971526853896</v>
      </c>
      <c r="R71" s="34">
        <f>-(MIN(SUM($H71,$Q71:Q71),$H71/$E$65))</f>
        <v>-256.79943053707791</v>
      </c>
    </row>
    <row r="72" spans="2:22" x14ac:dyDescent="0.2">
      <c r="G72" s="50">
        <f>+R$20</f>
        <v>2030</v>
      </c>
      <c r="H72" s="29">
        <f>+R$58</f>
        <v>2709.2339921661719</v>
      </c>
      <c r="N72" s="34">
        <v>0</v>
      </c>
      <c r="O72" s="34">
        <v>0</v>
      </c>
      <c r="P72" s="34">
        <v>0</v>
      </c>
      <c r="Q72" s="34">
        <v>0</v>
      </c>
      <c r="R72" s="34">
        <f>-(($H72/$E$65*$E$66))</f>
        <v>-135.46169960830861</v>
      </c>
    </row>
    <row r="73" spans="2:22" x14ac:dyDescent="0.2">
      <c r="G73" s="17" t="s">
        <v>69</v>
      </c>
      <c r="H73" s="17"/>
      <c r="I73" s="17"/>
      <c r="J73" s="17"/>
      <c r="K73" s="17"/>
      <c r="L73" s="17"/>
      <c r="M73" s="17"/>
      <c r="N73" s="27">
        <f>SUM(N68:N72)</f>
        <v>-109.34695199999999</v>
      </c>
      <c r="O73" s="27">
        <f>SUM(O68:O72)</f>
        <v>-334.05493835999994</v>
      </c>
      <c r="P73" s="27">
        <f>SUM(P68:P72)</f>
        <v>-571.12186396979996</v>
      </c>
      <c r="Q73" s="27">
        <f>SUM(Q68:Q72)</f>
        <v>-821.22747048813881</v>
      </c>
      <c r="R73" s="27">
        <f>SUM(R68:R72)</f>
        <v>-1085.0888853649865</v>
      </c>
    </row>
    <row r="76" spans="2:22" x14ac:dyDescent="0.2">
      <c r="B76" s="8">
        <v>5</v>
      </c>
      <c r="C76" s="11" t="s">
        <v>4</v>
      </c>
      <c r="D76" s="13" t="s">
        <v>70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8" spans="2:22" x14ac:dyDescent="0.2">
      <c r="D78" s="40" t="s">
        <v>71</v>
      </c>
    </row>
    <row r="79" spans="2:22" x14ac:dyDescent="0.2">
      <c r="D79" s="21" t="s">
        <v>72</v>
      </c>
      <c r="M79" s="1">
        <v>0</v>
      </c>
      <c r="N79" s="34">
        <f>+M82</f>
        <v>9104.7787649999991</v>
      </c>
      <c r="O79" s="34">
        <f>+N82</f>
        <v>8194.3008884999999</v>
      </c>
      <c r="P79" s="34">
        <f>+O82</f>
        <v>6828.5840737500002</v>
      </c>
      <c r="Q79" s="34">
        <f>+P82</f>
        <v>5007.6283207500001</v>
      </c>
      <c r="R79" s="34">
        <f>+Q82</f>
        <v>2731.4336295000003</v>
      </c>
    </row>
    <row r="80" spans="2:22" x14ac:dyDescent="0.2">
      <c r="D80" s="21" t="s">
        <v>73</v>
      </c>
      <c r="M80" s="29">
        <f>+E190</f>
        <v>9104.7787649999991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</row>
    <row r="81" spans="4:20" x14ac:dyDescent="0.2">
      <c r="D81" s="21" t="s">
        <v>74</v>
      </c>
      <c r="M81" s="1">
        <v>0</v>
      </c>
      <c r="N81" s="34">
        <f>-MIN(N79,$M$82*N$83)</f>
        <v>-910.47787649999998</v>
      </c>
      <c r="O81" s="34">
        <f>-MIN(O79,$M$82*O$83)</f>
        <v>-1365.7168147499999</v>
      </c>
      <c r="P81" s="34">
        <f>-MIN(P79,$M$82*P$83)</f>
        <v>-1820.955753</v>
      </c>
      <c r="Q81" s="34">
        <f>-MIN(Q79,$M$82*Q$83)</f>
        <v>-2276.1946912499998</v>
      </c>
      <c r="R81" s="34">
        <f>-MIN(R79,$M$82*R$83)</f>
        <v>-2731.4336295000003</v>
      </c>
      <c r="T81" s="39">
        <f>+SUM(N81:R81)+M82</f>
        <v>0</v>
      </c>
    </row>
    <row r="82" spans="4:20" x14ac:dyDescent="0.2">
      <c r="D82" s="17" t="s">
        <v>75</v>
      </c>
      <c r="E82" s="17"/>
      <c r="F82" s="17"/>
      <c r="G82" s="17"/>
      <c r="H82" s="17"/>
      <c r="I82" s="17"/>
      <c r="J82" s="17"/>
      <c r="K82" s="17"/>
      <c r="L82" s="17"/>
      <c r="M82" s="27">
        <f t="shared" ref="M82:R82" si="25">+SUM(M79:M81)</f>
        <v>9104.7787649999991</v>
      </c>
      <c r="N82" s="27">
        <f t="shared" si="25"/>
        <v>8194.3008884999999</v>
      </c>
      <c r="O82" s="27">
        <f t="shared" si="25"/>
        <v>6828.5840737500002</v>
      </c>
      <c r="P82" s="27">
        <f t="shared" si="25"/>
        <v>5007.6283207500001</v>
      </c>
      <c r="Q82" s="27">
        <f t="shared" si="25"/>
        <v>2731.4336295000003</v>
      </c>
      <c r="R82" s="27">
        <f t="shared" si="25"/>
        <v>0</v>
      </c>
    </row>
    <row r="83" spans="4:20" x14ac:dyDescent="0.2">
      <c r="D83" s="31" t="s">
        <v>76</v>
      </c>
      <c r="N83" s="51">
        <v>0.1</v>
      </c>
      <c r="O83" s="51">
        <v>0.15</v>
      </c>
      <c r="P83" s="51">
        <v>0.2</v>
      </c>
      <c r="Q83" s="51">
        <v>0.25</v>
      </c>
      <c r="R83" s="52">
        <f>1-SUM(N83:Q83)</f>
        <v>0.30000000000000004</v>
      </c>
      <c r="T83" s="32">
        <f>+SUM(N83:R83)-1</f>
        <v>0</v>
      </c>
    </row>
    <row r="84" spans="4:20" x14ac:dyDescent="0.2">
      <c r="D84" s="21" t="s">
        <v>77</v>
      </c>
      <c r="N84" s="34">
        <f>-$F$178*AVERAGE(N79,N82)</f>
        <v>-475.72469047124991</v>
      </c>
      <c r="O84" s="34">
        <f>-$F$178*AVERAGE(O79,O82)</f>
        <v>-413.12933646187503</v>
      </c>
      <c r="P84" s="34">
        <f>-$F$178*AVERAGE(P79,P82)</f>
        <v>-325.49584084874999</v>
      </c>
      <c r="Q84" s="34">
        <f>-$F$178*AVERAGE(Q79,Q82)</f>
        <v>-212.82420363187501</v>
      </c>
      <c r="R84" s="34">
        <f>-$F$178*AVERAGE(R79,R82)</f>
        <v>-75.114424811250004</v>
      </c>
    </row>
    <row r="86" spans="4:20" x14ac:dyDescent="0.2">
      <c r="D86" s="40" t="s">
        <v>78</v>
      </c>
    </row>
    <row r="87" spans="4:20" x14ac:dyDescent="0.2">
      <c r="D87" s="21" t="s">
        <v>79</v>
      </c>
      <c r="M87" s="1">
        <v>0</v>
      </c>
      <c r="N87" s="34">
        <f>+M92</f>
        <v>18209.557529999998</v>
      </c>
      <c r="O87" s="34">
        <f>+N92</f>
        <v>18209.557529999998</v>
      </c>
      <c r="P87" s="34">
        <f>+O92</f>
        <v>18209.557529999998</v>
      </c>
      <c r="Q87" s="34">
        <f>+P92</f>
        <v>18209.557529999998</v>
      </c>
      <c r="R87" s="34">
        <f>+Q92</f>
        <v>18209.557529999998</v>
      </c>
    </row>
    <row r="88" spans="4:20" x14ac:dyDescent="0.2">
      <c r="D88" s="21" t="s">
        <v>73</v>
      </c>
      <c r="M88" s="29">
        <f>+E191</f>
        <v>18209.557529999998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</row>
    <row r="89" spans="4:20" x14ac:dyDescent="0.2">
      <c r="D89" s="21" t="s">
        <v>80</v>
      </c>
      <c r="M89" s="1">
        <v>0</v>
      </c>
      <c r="N89" s="34">
        <f>-MIN(N87,$M$92*N$93)</f>
        <v>0</v>
      </c>
      <c r="O89" s="34">
        <f>-MIN(O87,$M$92*O$93)</f>
        <v>0</v>
      </c>
      <c r="P89" s="34">
        <f>-MIN(P87,$M$92*P$93)</f>
        <v>0</v>
      </c>
      <c r="Q89" s="34">
        <f>-MIN(Q87,$M$92*Q$93)</f>
        <v>0</v>
      </c>
      <c r="R89" s="34">
        <f>-MIN(R87,$M$92*R$93)</f>
        <v>0</v>
      </c>
    </row>
    <row r="90" spans="4:20" x14ac:dyDescent="0.2">
      <c r="D90" s="31" t="s">
        <v>81</v>
      </c>
      <c r="M90" s="1">
        <f>+M87+M88+M89</f>
        <v>18209.557529999998</v>
      </c>
      <c r="N90" s="39">
        <f>+SUM(N87:N89)</f>
        <v>18209.557529999998</v>
      </c>
      <c r="O90" s="39">
        <f>+SUM(O87:O89)</f>
        <v>18209.557529999998</v>
      </c>
      <c r="P90" s="39">
        <f>+SUM(P87:P89)</f>
        <v>18209.557529999998</v>
      </c>
      <c r="Q90" s="39">
        <f>+SUM(Q87:Q89)</f>
        <v>18209.557529999998</v>
      </c>
      <c r="R90" s="39">
        <f>+SUM(R87:R89)</f>
        <v>18209.557529999998</v>
      </c>
    </row>
    <row r="91" spans="4:20" x14ac:dyDescent="0.2">
      <c r="D91" s="21" t="s">
        <v>82</v>
      </c>
      <c r="M91" s="1">
        <v>0</v>
      </c>
      <c r="N91" s="34">
        <f>-MIN(N90,MAX(0,N150+N151)*$F$183)</f>
        <v>0</v>
      </c>
      <c r="O91" s="34">
        <f>-MIN(O90,MAX(0,O150+O151)*$F$183)</f>
        <v>0</v>
      </c>
      <c r="P91" s="34">
        <f>-MIN(P90,MAX(0,P150+P151)*$F$183)</f>
        <v>0</v>
      </c>
      <c r="Q91" s="34">
        <f>-MIN(Q90,MAX(0,Q150+Q151)*$F$183)</f>
        <v>0</v>
      </c>
      <c r="R91" s="34">
        <f>-MIN(R90,MAX(0,R150+R151)*$F$183)</f>
        <v>0</v>
      </c>
    </row>
    <row r="92" spans="4:20" x14ac:dyDescent="0.2">
      <c r="D92" s="17" t="s">
        <v>83</v>
      </c>
      <c r="E92" s="17"/>
      <c r="F92" s="17"/>
      <c r="G92" s="17"/>
      <c r="H92" s="17"/>
      <c r="I92" s="17"/>
      <c r="J92" s="17"/>
      <c r="K92" s="17"/>
      <c r="L92" s="17"/>
      <c r="M92" s="27">
        <f t="shared" ref="M92:R92" si="26">+M90+M91</f>
        <v>18209.557529999998</v>
      </c>
      <c r="N92" s="27">
        <f t="shared" si="26"/>
        <v>18209.557529999998</v>
      </c>
      <c r="O92" s="27">
        <f t="shared" si="26"/>
        <v>18209.557529999998</v>
      </c>
      <c r="P92" s="27">
        <f t="shared" si="26"/>
        <v>18209.557529999998</v>
      </c>
      <c r="Q92" s="27">
        <f t="shared" si="26"/>
        <v>18209.557529999998</v>
      </c>
      <c r="R92" s="27">
        <f t="shared" si="26"/>
        <v>18209.557529999998</v>
      </c>
    </row>
    <row r="93" spans="4:20" x14ac:dyDescent="0.2">
      <c r="D93" s="31" t="s">
        <v>84</v>
      </c>
      <c r="N93" s="53">
        <f>+$F$182</f>
        <v>0</v>
      </c>
      <c r="O93" s="53">
        <f>+$F$182</f>
        <v>0</v>
      </c>
      <c r="P93" s="53">
        <f>+$F$182</f>
        <v>0</v>
      </c>
      <c r="Q93" s="53">
        <f>+$F$182</f>
        <v>0</v>
      </c>
      <c r="R93" s="53">
        <f>+$F$182</f>
        <v>0</v>
      </c>
    </row>
    <row r="94" spans="4:20" x14ac:dyDescent="0.2">
      <c r="D94" s="21" t="s">
        <v>85</v>
      </c>
      <c r="N94" s="34">
        <f>-$F$179*AVERAGE(N87,N90)</f>
        <v>-1183.6212394499998</v>
      </c>
      <c r="O94" s="34">
        <f>-$F$179*AVERAGE(O87,O90)</f>
        <v>-1183.6212394499998</v>
      </c>
      <c r="P94" s="34">
        <f>-$F$179*AVERAGE(P87,P90)</f>
        <v>-1183.6212394499998</v>
      </c>
      <c r="Q94" s="34">
        <f>-$F$179*AVERAGE(Q87,Q90)</f>
        <v>-1183.6212394499998</v>
      </c>
      <c r="R94" s="34">
        <f>-$F$179*AVERAGE(R87,R90)</f>
        <v>-1183.6212394499998</v>
      </c>
    </row>
    <row r="96" spans="4:20" x14ac:dyDescent="0.2">
      <c r="D96" s="40" t="s">
        <v>86</v>
      </c>
    </row>
    <row r="97" spans="4:18" x14ac:dyDescent="0.2">
      <c r="D97" s="21" t="s">
        <v>87</v>
      </c>
      <c r="M97" s="1">
        <v>0</v>
      </c>
      <c r="N97" s="34">
        <f>+M101</f>
        <v>12139.705019999999</v>
      </c>
      <c r="O97" s="34">
        <f>+N101</f>
        <v>12139.705019999999</v>
      </c>
      <c r="P97" s="34">
        <f>+O101</f>
        <v>12139.705019999999</v>
      </c>
      <c r="Q97" s="34">
        <f>+P101</f>
        <v>12139.705019999999</v>
      </c>
      <c r="R97" s="34">
        <f>+Q101</f>
        <v>12139.705019999999</v>
      </c>
    </row>
    <row r="98" spans="4:18" x14ac:dyDescent="0.2">
      <c r="D98" s="21" t="s">
        <v>73</v>
      </c>
      <c r="M98" s="29">
        <f>+E192</f>
        <v>12139.705019999999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</row>
    <row r="99" spans="4:18" x14ac:dyDescent="0.2">
      <c r="D99" s="21" t="s">
        <v>88</v>
      </c>
      <c r="M99" s="1">
        <v>0</v>
      </c>
      <c r="N99" s="34">
        <f>+IF($I$180=1,N97*$F$180,0)</f>
        <v>0</v>
      </c>
      <c r="O99" s="34">
        <f>+IF($I$180=1,O97*$F$180,0)</f>
        <v>0</v>
      </c>
      <c r="P99" s="34">
        <f>+IF($I$180=1,P97*$F$180,0)</f>
        <v>0</v>
      </c>
      <c r="Q99" s="34">
        <f>+IF($I$180=1,Q97*$F$180,0)</f>
        <v>0</v>
      </c>
      <c r="R99" s="34">
        <f>+IF($I$180=1,R97*$F$180,0)</f>
        <v>0</v>
      </c>
    </row>
    <row r="100" spans="4:18" x14ac:dyDescent="0.2">
      <c r="D100" s="21" t="s">
        <v>89</v>
      </c>
      <c r="M100" s="1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</row>
    <row r="101" spans="4:18" x14ac:dyDescent="0.2">
      <c r="D101" s="17" t="s">
        <v>90</v>
      </c>
      <c r="E101" s="17"/>
      <c r="F101" s="17"/>
      <c r="G101" s="17"/>
      <c r="H101" s="17"/>
      <c r="I101" s="17"/>
      <c r="J101" s="17"/>
      <c r="K101" s="17"/>
      <c r="L101" s="17"/>
      <c r="M101" s="27">
        <f t="shared" ref="M101:R101" si="27">+SUM(M97:M100)</f>
        <v>12139.705019999999</v>
      </c>
      <c r="N101" s="27">
        <f t="shared" si="27"/>
        <v>12139.705019999999</v>
      </c>
      <c r="O101" s="27">
        <f t="shared" si="27"/>
        <v>12139.705019999999</v>
      </c>
      <c r="P101" s="27">
        <f t="shared" si="27"/>
        <v>12139.705019999999</v>
      </c>
      <c r="Q101" s="27">
        <f t="shared" si="27"/>
        <v>12139.705019999999</v>
      </c>
      <c r="R101" s="27">
        <f t="shared" si="27"/>
        <v>12139.705019999999</v>
      </c>
    </row>
    <row r="102" spans="4:18" x14ac:dyDescent="0.2">
      <c r="D102" s="21" t="s">
        <v>91</v>
      </c>
      <c r="N102" s="34">
        <f>+IF($I$180=0,-N97*$F$180,0)</f>
        <v>-940.82713904999991</v>
      </c>
      <c r="O102" s="34">
        <f>+IF($I$180=0,-O97*$F$180,0)</f>
        <v>-940.82713904999991</v>
      </c>
      <c r="P102" s="34">
        <f>+IF($I$180=0,-P97*$F$180,0)</f>
        <v>-940.82713904999991</v>
      </c>
      <c r="Q102" s="34">
        <f>+IF($I$180=0,-Q97*$F$180,0)</f>
        <v>-940.82713904999991</v>
      </c>
      <c r="R102" s="34">
        <f>+IF($I$180=0,-R97*$F$180,0)</f>
        <v>-940.82713904999991</v>
      </c>
    </row>
    <row r="103" spans="4:18" x14ac:dyDescent="0.2">
      <c r="D103" s="31" t="s">
        <v>92</v>
      </c>
      <c r="N103" s="39">
        <f>-N97*$F$180</f>
        <v>-940.82713904999991</v>
      </c>
      <c r="O103" s="39">
        <f>-O97*$F$180</f>
        <v>-940.82713904999991</v>
      </c>
      <c r="P103" s="39">
        <f>-P97*$F$180</f>
        <v>-940.82713904999991</v>
      </c>
      <c r="Q103" s="39">
        <f>-Q97*$F$180</f>
        <v>-940.82713904999991</v>
      </c>
      <c r="R103" s="39">
        <f>-R97*$F$180</f>
        <v>-940.82713904999991</v>
      </c>
    </row>
    <row r="105" spans="4:18" x14ac:dyDescent="0.2">
      <c r="D105" s="40" t="s">
        <v>93</v>
      </c>
    </row>
    <row r="106" spans="4:18" x14ac:dyDescent="0.2">
      <c r="D106" s="21" t="s">
        <v>94</v>
      </c>
      <c r="M106" s="1">
        <v>0</v>
      </c>
      <c r="N106" s="34">
        <f>+M110</f>
        <v>24279.410039999999</v>
      </c>
      <c r="O106" s="34">
        <f>+N110</f>
        <v>24279.410039999999</v>
      </c>
      <c r="P106" s="34">
        <f>+O110</f>
        <v>24279.410039999999</v>
      </c>
      <c r="Q106" s="34">
        <f>+P110</f>
        <v>24279.410039999999</v>
      </c>
      <c r="R106" s="34">
        <f>+Q110</f>
        <v>24279.410039999999</v>
      </c>
    </row>
    <row r="107" spans="4:18" x14ac:dyDescent="0.2">
      <c r="D107" s="21" t="s">
        <v>73</v>
      </c>
      <c r="M107" s="29">
        <f>+E193</f>
        <v>24279.410039999999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</row>
    <row r="108" spans="4:18" x14ac:dyDescent="0.2">
      <c r="D108" s="21" t="s">
        <v>95</v>
      </c>
      <c r="M108" s="1">
        <v>0</v>
      </c>
      <c r="N108" s="34">
        <f>+IF($I$181=1,N106*$F$181,0)</f>
        <v>0</v>
      </c>
      <c r="O108" s="34">
        <f>+IF($I$181=1,O106*$F$181,0)</f>
        <v>0</v>
      </c>
      <c r="P108" s="34">
        <f>+IF($I$181=1,P106*$F$181,0)</f>
        <v>0</v>
      </c>
      <c r="Q108" s="34">
        <f>+IF($I$181=1,Q106*$F$181,0)</f>
        <v>0</v>
      </c>
      <c r="R108" s="34">
        <f>+IF($I$181=1,R106*$F$181,0)</f>
        <v>0</v>
      </c>
    </row>
    <row r="109" spans="4:18" x14ac:dyDescent="0.2">
      <c r="D109" s="21" t="s">
        <v>96</v>
      </c>
      <c r="M109" s="1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</row>
    <row r="110" spans="4:18" x14ac:dyDescent="0.2">
      <c r="D110" s="17" t="s">
        <v>97</v>
      </c>
      <c r="E110" s="17"/>
      <c r="F110" s="17"/>
      <c r="G110" s="17"/>
      <c r="H110" s="17"/>
      <c r="I110" s="17"/>
      <c r="J110" s="17"/>
      <c r="K110" s="17"/>
      <c r="L110" s="17"/>
      <c r="M110" s="27">
        <f t="shared" ref="M110:R110" si="28">+SUM(M106:M109)</f>
        <v>24279.410039999999</v>
      </c>
      <c r="N110" s="27">
        <f t="shared" si="28"/>
        <v>24279.410039999999</v>
      </c>
      <c r="O110" s="27">
        <f t="shared" si="28"/>
        <v>24279.410039999999</v>
      </c>
      <c r="P110" s="27">
        <f t="shared" si="28"/>
        <v>24279.410039999999</v>
      </c>
      <c r="Q110" s="27">
        <f t="shared" si="28"/>
        <v>24279.410039999999</v>
      </c>
      <c r="R110" s="27">
        <f t="shared" si="28"/>
        <v>24279.410039999999</v>
      </c>
    </row>
    <row r="111" spans="4:18" x14ac:dyDescent="0.2">
      <c r="D111" s="21" t="s">
        <v>98</v>
      </c>
      <c r="N111" s="34">
        <f>+IF($I$181=0,-N106*$F$181,0)</f>
        <v>-1335.3675521999999</v>
      </c>
      <c r="O111" s="34">
        <f>+IF($I$181=0,-O106*$F$181,0)</f>
        <v>-1335.3675521999999</v>
      </c>
      <c r="P111" s="34">
        <f>+IF($I$181=0,-P106*$F$181,0)</f>
        <v>-1335.3675521999999</v>
      </c>
      <c r="Q111" s="34">
        <f>+IF($I$181=0,-Q106*$F$181,0)</f>
        <v>-1335.3675521999999</v>
      </c>
      <c r="R111" s="34">
        <f>+IF($I$181=0,-R106*$F$181,0)</f>
        <v>-1335.3675521999999</v>
      </c>
    </row>
    <row r="112" spans="4:18" x14ac:dyDescent="0.2">
      <c r="D112" s="31" t="s">
        <v>99</v>
      </c>
      <c r="N112" s="39">
        <f>-N106*$F$181</f>
        <v>-1335.3675521999999</v>
      </c>
      <c r="O112" s="39">
        <f>-O106*$F$181</f>
        <v>-1335.3675521999999</v>
      </c>
      <c r="P112" s="39">
        <f>-P106*$F$181</f>
        <v>-1335.3675521999999</v>
      </c>
      <c r="Q112" s="39">
        <f>-Q106*$F$181</f>
        <v>-1335.3675521999999</v>
      </c>
      <c r="R112" s="39">
        <f>-R106*$F$181</f>
        <v>-1335.3675521999999</v>
      </c>
    </row>
    <row r="114" spans="4:18" x14ac:dyDescent="0.2">
      <c r="D114" s="40" t="s">
        <v>100</v>
      </c>
    </row>
    <row r="115" spans="4:18" x14ac:dyDescent="0.2">
      <c r="D115" s="21" t="s">
        <v>101</v>
      </c>
      <c r="M115" s="1">
        <v>0</v>
      </c>
      <c r="N115" s="34">
        <f>+M117</f>
        <v>0</v>
      </c>
      <c r="O115" s="34">
        <f>+N117</f>
        <v>0</v>
      </c>
      <c r="P115" s="34">
        <f>+O117</f>
        <v>0</v>
      </c>
      <c r="Q115" s="34">
        <f>+P117</f>
        <v>13.629100379530882</v>
      </c>
      <c r="R115" s="34">
        <f>+Q117</f>
        <v>12.613248068758821</v>
      </c>
    </row>
    <row r="116" spans="4:18" x14ac:dyDescent="0.2">
      <c r="D116" s="21" t="s">
        <v>102</v>
      </c>
      <c r="M116" s="29">
        <f>+E194</f>
        <v>0</v>
      </c>
      <c r="N116" s="34">
        <f>+IF(N150&lt;0,MIN($F$184-N115,-N150),-MIN(N115,N150))</f>
        <v>0</v>
      </c>
      <c r="O116" s="34">
        <f>+IF(O150&lt;0,MIN($F$184-O115,-O150),-MIN(O115,O150))</f>
        <v>0</v>
      </c>
      <c r="P116" s="34">
        <f>+IF(P150&lt;0,MIN($F$184-P115,-P150),-MIN(P115,P150))</f>
        <v>13.629100379530882</v>
      </c>
      <c r="Q116" s="34">
        <f>+IF(Q150&lt;0,MIN($F$184-Q115,-Q150),-MIN(Q115,Q150))</f>
        <v>-1.0158523107720612</v>
      </c>
      <c r="R116" s="34">
        <f>+IF(R150&lt;0,MIN($F$184-R115,-R150),-MIN(R115,R150))</f>
        <v>-12.613248068758821</v>
      </c>
    </row>
    <row r="117" spans="4:18" x14ac:dyDescent="0.2">
      <c r="D117" s="17" t="s">
        <v>103</v>
      </c>
      <c r="E117" s="17"/>
      <c r="F117" s="17"/>
      <c r="G117" s="17"/>
      <c r="H117" s="17"/>
      <c r="I117" s="17"/>
      <c r="J117" s="17"/>
      <c r="K117" s="17"/>
      <c r="L117" s="17"/>
      <c r="M117" s="27">
        <f t="shared" ref="M117:R117" si="29">+M115+M116</f>
        <v>0</v>
      </c>
      <c r="N117" s="27">
        <f t="shared" si="29"/>
        <v>0</v>
      </c>
      <c r="O117" s="27">
        <f t="shared" si="29"/>
        <v>0</v>
      </c>
      <c r="P117" s="27">
        <f t="shared" si="29"/>
        <v>13.629100379530882</v>
      </c>
      <c r="Q117" s="27">
        <f t="shared" si="29"/>
        <v>12.613248068758821</v>
      </c>
      <c r="R117" s="27">
        <f t="shared" si="29"/>
        <v>0</v>
      </c>
    </row>
    <row r="118" spans="4:18" x14ac:dyDescent="0.2">
      <c r="D118" s="31" t="s">
        <v>104</v>
      </c>
      <c r="M118" s="39">
        <f>+$F$184-M117</f>
        <v>2000</v>
      </c>
      <c r="N118" s="39">
        <f>+MAX(0,$F$184-N117)</f>
        <v>2000</v>
      </c>
      <c r="O118" s="39">
        <f>+MAX(0,$F$184-O117)</f>
        <v>2000</v>
      </c>
      <c r="P118" s="39">
        <f>+MAX(0,$F$184-P117)</f>
        <v>1986.3708996204691</v>
      </c>
      <c r="Q118" s="39">
        <f>+MAX(0,$F$184-Q117)</f>
        <v>1987.3867519312412</v>
      </c>
      <c r="R118" s="39">
        <f>+MAX(0,$F$184-R117)</f>
        <v>2000</v>
      </c>
    </row>
    <row r="119" spans="4:18" x14ac:dyDescent="0.2">
      <c r="D119" s="21" t="s">
        <v>105</v>
      </c>
      <c r="N119" s="34">
        <f>-(N115*$F$185+MAX(0,$F$184-N115)*$F$186)</f>
        <v>-7</v>
      </c>
      <c r="O119" s="34">
        <f>-(O115*$F$185+MAX(0,$F$184-O115)*$F$186)</f>
        <v>-7</v>
      </c>
      <c r="P119" s="34">
        <f>-(P115*$F$185+MAX(0,$F$184-P115)*$F$186)</f>
        <v>-7</v>
      </c>
      <c r="Q119" s="34">
        <f>-(Q115*$F$185+MAX(0,$F$184-Q115)*$F$186)</f>
        <v>-7.6678259185970132</v>
      </c>
      <c r="R119" s="34">
        <f>-(R115*$F$185+MAX(0,$F$184-R115)*$F$186)</f>
        <v>-7.6180491553691825</v>
      </c>
    </row>
    <row r="126" spans="4:18" x14ac:dyDescent="0.2">
      <c r="D126" s="40" t="s">
        <v>106</v>
      </c>
    </row>
    <row r="127" spans="4:18" x14ac:dyDescent="0.2">
      <c r="D127" s="21" t="s">
        <v>107</v>
      </c>
      <c r="M127" s="1">
        <v>0</v>
      </c>
      <c r="N127" s="34">
        <f>+N79+N87+N97+N106+N115</f>
        <v>63733.451354999997</v>
      </c>
      <c r="O127" s="34">
        <f>+O79+O87+O97+O106+O115</f>
        <v>62822.973478500004</v>
      </c>
      <c r="P127" s="34">
        <f>+P79+P87+P97+P106+P115</f>
        <v>61457.256663749999</v>
      </c>
      <c r="Q127" s="34">
        <f>+Q79+Q87+Q97+Q106+Q115</f>
        <v>59649.930011129531</v>
      </c>
      <c r="R127" s="34">
        <f>+R79+R87+R97+R106+R115</f>
        <v>57372.719467568757</v>
      </c>
    </row>
    <row r="128" spans="4:18" x14ac:dyDescent="0.2">
      <c r="D128" s="21" t="s">
        <v>108</v>
      </c>
      <c r="M128" s="1">
        <f>+M80+M88+M98+M107+M116</f>
        <v>63733.451354999997</v>
      </c>
      <c r="N128" s="34">
        <f>+N81+N89</f>
        <v>-910.47787649999998</v>
      </c>
      <c r="O128" s="34">
        <f>+O81+O89</f>
        <v>-1365.7168147499999</v>
      </c>
      <c r="P128" s="34">
        <f>+P81+P89</f>
        <v>-1820.955753</v>
      </c>
      <c r="Q128" s="34">
        <f>+Q81+Q89</f>
        <v>-2276.1946912499998</v>
      </c>
      <c r="R128" s="34">
        <f>+R81+R89</f>
        <v>-2731.4336295000003</v>
      </c>
    </row>
    <row r="129" spans="2:22" x14ac:dyDescent="0.2">
      <c r="D129" s="21" t="s">
        <v>109</v>
      </c>
      <c r="M129" s="1">
        <v>0</v>
      </c>
      <c r="N129" s="34">
        <f>+N91+N116</f>
        <v>0</v>
      </c>
      <c r="O129" s="34">
        <f>+O91+O116</f>
        <v>0</v>
      </c>
      <c r="P129" s="34">
        <f>+P91+P116</f>
        <v>13.629100379530882</v>
      </c>
      <c r="Q129" s="34">
        <f>+Q91+Q116</f>
        <v>-1.0158523107720612</v>
      </c>
      <c r="R129" s="34">
        <f>+R91+R116</f>
        <v>-12.613248068758821</v>
      </c>
    </row>
    <row r="130" spans="2:22" x14ac:dyDescent="0.2">
      <c r="D130" s="21" t="s">
        <v>110</v>
      </c>
      <c r="M130" s="1">
        <v>0</v>
      </c>
      <c r="N130" s="34">
        <f>+N99+N108</f>
        <v>0</v>
      </c>
      <c r="O130" s="34">
        <f>+O99+O108</f>
        <v>0</v>
      </c>
      <c r="P130" s="34">
        <f>+P99+P108</f>
        <v>0</v>
      </c>
      <c r="Q130" s="34">
        <f>+Q99+Q108</f>
        <v>0</v>
      </c>
      <c r="R130" s="34">
        <f>+R99+R108</f>
        <v>0</v>
      </c>
    </row>
    <row r="131" spans="2:22" x14ac:dyDescent="0.2">
      <c r="D131" s="35" t="s">
        <v>111</v>
      </c>
      <c r="E131" s="35"/>
      <c r="F131" s="35"/>
      <c r="G131" s="35"/>
      <c r="H131" s="35"/>
      <c r="I131" s="35"/>
      <c r="J131" s="35"/>
      <c r="K131" s="35"/>
      <c r="L131" s="35"/>
      <c r="M131" s="36">
        <f t="shared" ref="M131:R131" si="30">+M82+M92+M101+M110+M117</f>
        <v>63733.451354999997</v>
      </c>
      <c r="N131" s="36">
        <f t="shared" si="30"/>
        <v>62822.973478500004</v>
      </c>
      <c r="O131" s="36">
        <f t="shared" si="30"/>
        <v>61457.256663749999</v>
      </c>
      <c r="P131" s="36">
        <f t="shared" si="30"/>
        <v>59649.930011129531</v>
      </c>
      <c r="Q131" s="36">
        <f t="shared" si="30"/>
        <v>57372.719467568757</v>
      </c>
      <c r="R131" s="36">
        <f t="shared" si="30"/>
        <v>54628.672590000002</v>
      </c>
    </row>
    <row r="132" spans="2:22" x14ac:dyDescent="0.2">
      <c r="D132" s="40" t="s">
        <v>112</v>
      </c>
      <c r="N132" s="41">
        <f>+N84+N94+N102+N111+N119</f>
        <v>-3942.5406211712493</v>
      </c>
      <c r="O132" s="41">
        <f>+O84+O94+O102+O111+O119</f>
        <v>-3879.9452671618747</v>
      </c>
      <c r="P132" s="41">
        <f>+P84+P94+P102+P111+P119</f>
        <v>-3792.3117715487497</v>
      </c>
      <c r="Q132" s="41">
        <f>+Q84+Q94+Q102+Q111+Q119</f>
        <v>-3680.3079602504713</v>
      </c>
      <c r="R132" s="41">
        <f>+R84+R94+R102+R111+R119</f>
        <v>-3542.5484046666188</v>
      </c>
    </row>
    <row r="133" spans="2:22" x14ac:dyDescent="0.2">
      <c r="D133" s="31" t="s">
        <v>113</v>
      </c>
      <c r="N133" s="39">
        <f>+N84+N94+N103+N112+N119</f>
        <v>-3942.5406211712493</v>
      </c>
      <c r="O133" s="39">
        <f>+O84+O94+O103+O112+O119</f>
        <v>-3879.9452671618747</v>
      </c>
      <c r="P133" s="39">
        <f>+P84+P94+P103+P112+P119</f>
        <v>-3792.3117715487497</v>
      </c>
      <c r="Q133" s="39">
        <f>+Q84+Q94+Q103+Q112+Q119</f>
        <v>-3680.3079602504713</v>
      </c>
      <c r="R133" s="39">
        <f>+R84+R94+R103+R112+R119</f>
        <v>-3542.5484046666188</v>
      </c>
    </row>
    <row r="134" spans="2:22" x14ac:dyDescent="0.2">
      <c r="D134" s="31" t="s">
        <v>114</v>
      </c>
      <c r="M134" s="54">
        <f t="shared" ref="M134:R134" si="31">+(M82+M92+M117-M157)/(M29*$F$168)</f>
        <v>4.2879783737941271</v>
      </c>
      <c r="N134" s="54">
        <f t="shared" si="31"/>
        <v>3.8426892611253618</v>
      </c>
      <c r="O134" s="54">
        <f t="shared" si="31"/>
        <v>3.3769799181555418</v>
      </c>
      <c r="P134" s="54">
        <f t="shared" si="31"/>
        <v>2.9017943161306614</v>
      </c>
      <c r="Q134" s="54">
        <f t="shared" si="31"/>
        <v>2.4187639516223136</v>
      </c>
      <c r="R134" s="54">
        <f t="shared" si="31"/>
        <v>1.9294089061995903</v>
      </c>
    </row>
    <row r="135" spans="2:22" x14ac:dyDescent="0.2">
      <c r="D135" s="31" t="s">
        <v>115</v>
      </c>
      <c r="M135" s="54">
        <f t="shared" ref="M135:R135" si="32">+(M131-M157)/(M29*$F$168)</f>
        <v>10.287978373794127</v>
      </c>
      <c r="N135" s="54">
        <f t="shared" si="32"/>
        <v>9.4226252334156619</v>
      </c>
      <c r="O135" s="54">
        <f t="shared" si="32"/>
        <v>8.5588737835367112</v>
      </c>
      <c r="P135" s="54">
        <f t="shared" si="32"/>
        <v>7.717752359774944</v>
      </c>
      <c r="Q135" s="54">
        <f t="shared" si="32"/>
        <v>6.8978784995479883</v>
      </c>
      <c r="R135" s="54">
        <f t="shared" si="32"/>
        <v>6.0980926058282909</v>
      </c>
    </row>
    <row r="138" spans="2:22" ht="13.95" customHeight="1" x14ac:dyDescent="0.2">
      <c r="B138" s="11" t="s">
        <v>4</v>
      </c>
      <c r="C138" s="13" t="s">
        <v>116</v>
      </c>
      <c r="D138" s="13"/>
      <c r="E138" s="13"/>
      <c r="F138" s="13"/>
      <c r="G138" s="13"/>
      <c r="H138" s="13"/>
      <c r="I138" s="13"/>
      <c r="J138" s="14" t="s">
        <v>11</v>
      </c>
      <c r="K138" s="14" t="s">
        <v>11</v>
      </c>
      <c r="L138" s="14" t="s">
        <v>11</v>
      </c>
      <c r="M138" s="14" t="s">
        <v>11</v>
      </c>
      <c r="N138" s="14" t="s">
        <v>11</v>
      </c>
      <c r="O138" s="14" t="s">
        <v>11</v>
      </c>
      <c r="P138" s="14" t="s">
        <v>11</v>
      </c>
      <c r="Q138" s="14" t="s">
        <v>11</v>
      </c>
      <c r="R138" s="14" t="s">
        <v>11</v>
      </c>
      <c r="S138" s="13"/>
      <c r="T138" s="13"/>
      <c r="U138" s="13"/>
      <c r="V138" s="13"/>
    </row>
    <row r="139" spans="2:22" ht="13.95" customHeight="1" x14ac:dyDescent="0.2">
      <c r="C139" s="13" t="s">
        <v>29</v>
      </c>
      <c r="D139" s="13"/>
      <c r="E139" s="13"/>
      <c r="F139" s="13"/>
      <c r="G139" s="13"/>
      <c r="H139" s="13"/>
      <c r="I139" s="13"/>
      <c r="J139" s="15">
        <f>+J20</f>
        <v>2022</v>
      </c>
      <c r="K139" s="15">
        <f t="shared" ref="K139:R139" si="33">+J139+1</f>
        <v>2023</v>
      </c>
      <c r="L139" s="15">
        <f t="shared" si="33"/>
        <v>2024</v>
      </c>
      <c r="M139" s="15">
        <f t="shared" si="33"/>
        <v>2025</v>
      </c>
      <c r="N139" s="16">
        <f t="shared" si="33"/>
        <v>2026</v>
      </c>
      <c r="O139" s="16">
        <f t="shared" si="33"/>
        <v>2027</v>
      </c>
      <c r="P139" s="16">
        <f t="shared" si="33"/>
        <v>2028</v>
      </c>
      <c r="Q139" s="16">
        <f t="shared" si="33"/>
        <v>2029</v>
      </c>
      <c r="R139" s="16">
        <f t="shared" si="33"/>
        <v>2030</v>
      </c>
      <c r="S139" s="13"/>
      <c r="T139" s="13"/>
      <c r="U139" s="13"/>
      <c r="V139" s="13"/>
    </row>
    <row r="141" spans="2:22" x14ac:dyDescent="0.2">
      <c r="D141" s="40" t="s">
        <v>117</v>
      </c>
      <c r="J141" s="41">
        <f t="shared" ref="J141:R141" si="34">+J29*$F$168</f>
        <v>4522.3071600000003</v>
      </c>
      <c r="K141" s="41">
        <f t="shared" si="34"/>
        <v>5223.0459899999996</v>
      </c>
      <c r="L141" s="41">
        <f t="shared" si="34"/>
        <v>5743.6132200000002</v>
      </c>
      <c r="M141" s="41">
        <f t="shared" si="34"/>
        <v>6069.8525099999997</v>
      </c>
      <c r="N141" s="41">
        <f t="shared" si="34"/>
        <v>6526.7980207757964</v>
      </c>
      <c r="O141" s="41">
        <f t="shared" si="34"/>
        <v>7028.1476244247788</v>
      </c>
      <c r="P141" s="41">
        <f t="shared" si="34"/>
        <v>7562.1744894690355</v>
      </c>
      <c r="Q141" s="41">
        <f t="shared" si="34"/>
        <v>8130.873785504341</v>
      </c>
      <c r="R141" s="41">
        <f t="shared" si="34"/>
        <v>8736.3584488897086</v>
      </c>
    </row>
    <row r="142" spans="2:22" x14ac:dyDescent="0.2">
      <c r="D142" s="21" t="s">
        <v>118</v>
      </c>
      <c r="J142" s="1">
        <f t="shared" ref="J142:R142" si="35">+J36</f>
        <v>-779.2</v>
      </c>
      <c r="K142" s="1">
        <f t="shared" si="35"/>
        <v>-949.1</v>
      </c>
      <c r="L142" s="1">
        <f t="shared" si="35"/>
        <v>-1093.9000000000001</v>
      </c>
      <c r="M142" s="1">
        <f t="shared" si="35"/>
        <v>-1158.2</v>
      </c>
      <c r="N142" s="34">
        <f t="shared" si="35"/>
        <v>-378.93406888984799</v>
      </c>
      <c r="O142" s="34">
        <f t="shared" si="35"/>
        <v>-472.8689414571125</v>
      </c>
      <c r="P142" s="34">
        <f t="shared" si="35"/>
        <v>-577.9506804090073</v>
      </c>
      <c r="Q142" s="34">
        <f t="shared" si="35"/>
        <v>-694.37863461542634</v>
      </c>
      <c r="R142" s="34">
        <f t="shared" si="35"/>
        <v>-822.83307302723131</v>
      </c>
    </row>
    <row r="143" spans="2:22" x14ac:dyDescent="0.2">
      <c r="D143" s="21" t="s">
        <v>119</v>
      </c>
      <c r="J143" s="1">
        <f t="shared" ref="J143:R143" si="36">+J49*$F$168</f>
        <v>0</v>
      </c>
      <c r="K143" s="1">
        <f t="shared" si="36"/>
        <v>607.43567999999993</v>
      </c>
      <c r="L143" s="1">
        <f t="shared" si="36"/>
        <v>462.01146</v>
      </c>
      <c r="M143" s="1">
        <f t="shared" si="36"/>
        <v>-5.7912299999999997</v>
      </c>
      <c r="N143" s="34">
        <f t="shared" si="36"/>
        <v>148.84596438468043</v>
      </c>
      <c r="O143" s="34">
        <f t="shared" si="36"/>
        <v>155.83715424115672</v>
      </c>
      <c r="P143" s="34">
        <f t="shared" si="36"/>
        <v>164.40819772442103</v>
      </c>
      <c r="Q143" s="34">
        <f t="shared" si="36"/>
        <v>173.45064859926384</v>
      </c>
      <c r="R143" s="34">
        <f t="shared" si="36"/>
        <v>182.99043427222398</v>
      </c>
    </row>
    <row r="144" spans="2:22" x14ac:dyDescent="0.2">
      <c r="D144" s="21" t="s">
        <v>120</v>
      </c>
      <c r="J144" s="1">
        <f t="shared" ref="J144:R144" si="37">-J55*$F$168</f>
        <v>-910.51004999999998</v>
      </c>
      <c r="K144" s="1">
        <f t="shared" si="37"/>
        <v>-1204.57584</v>
      </c>
      <c r="L144" s="1">
        <f t="shared" si="37"/>
        <v>-1719.35184</v>
      </c>
      <c r="M144" s="1">
        <f t="shared" si="37"/>
        <v>-1745.0906399999999</v>
      </c>
      <c r="N144" s="34">
        <f t="shared" si="37"/>
        <v>-1407.2296640687998</v>
      </c>
      <c r="O144" s="34">
        <f t="shared" si="37"/>
        <v>-1484.6272955925838</v>
      </c>
      <c r="P144" s="34">
        <f t="shared" si="37"/>
        <v>-1566.2817968501756</v>
      </c>
      <c r="Q144" s="34">
        <f t="shared" si="37"/>
        <v>-1652.4272956769353</v>
      </c>
      <c r="R144" s="34">
        <f t="shared" si="37"/>
        <v>-1743.3107969391665</v>
      </c>
    </row>
    <row r="145" spans="1:22" x14ac:dyDescent="0.2">
      <c r="D145" s="17" t="s">
        <v>121</v>
      </c>
      <c r="E145" s="17"/>
      <c r="F145" s="17"/>
      <c r="G145" s="17"/>
      <c r="H145" s="17"/>
      <c r="I145" s="17"/>
      <c r="J145" s="27">
        <f t="shared" ref="J145:R145" si="38">+SUM(J141:J144)</f>
        <v>2832.5971100000006</v>
      </c>
      <c r="K145" s="27">
        <f t="shared" si="38"/>
        <v>3676.8058299999989</v>
      </c>
      <c r="L145" s="27">
        <f t="shared" si="38"/>
        <v>3392.3728399999991</v>
      </c>
      <c r="M145" s="27">
        <f t="shared" si="38"/>
        <v>3160.7706400000002</v>
      </c>
      <c r="N145" s="27">
        <f t="shared" si="38"/>
        <v>4889.480252201829</v>
      </c>
      <c r="O145" s="27">
        <f t="shared" si="38"/>
        <v>5226.4885416162397</v>
      </c>
      <c r="P145" s="27">
        <f t="shared" si="38"/>
        <v>5582.3502099342741</v>
      </c>
      <c r="Q145" s="27">
        <f t="shared" si="38"/>
        <v>5957.5185038112431</v>
      </c>
      <c r="R145" s="27">
        <f t="shared" si="38"/>
        <v>6353.2050131955348</v>
      </c>
    </row>
    <row r="147" spans="1:22" x14ac:dyDescent="0.2">
      <c r="D147" s="21" t="s">
        <v>122</v>
      </c>
      <c r="N147" s="34">
        <f>+N132</f>
        <v>-3942.5406211712493</v>
      </c>
      <c r="O147" s="34">
        <f>+O132</f>
        <v>-3879.9452671618747</v>
      </c>
      <c r="P147" s="34">
        <f>+P132</f>
        <v>-3792.3117715487497</v>
      </c>
      <c r="Q147" s="34">
        <f>+Q132</f>
        <v>-3680.3079602504713</v>
      </c>
      <c r="R147" s="34">
        <f>+R132</f>
        <v>-3542.5484046666188</v>
      </c>
    </row>
    <row r="148" spans="1:22" x14ac:dyDescent="0.2">
      <c r="D148" s="21" t="s">
        <v>123</v>
      </c>
      <c r="N148" s="34">
        <f>+N128</f>
        <v>-910.47787649999998</v>
      </c>
      <c r="O148" s="34">
        <f>+O128</f>
        <v>-1365.7168147499999</v>
      </c>
      <c r="P148" s="34">
        <f>+P128</f>
        <v>-1820.955753</v>
      </c>
      <c r="Q148" s="34">
        <f>+Q128</f>
        <v>-2276.1946912499998</v>
      </c>
      <c r="R148" s="34">
        <f>+R128</f>
        <v>-2731.4336295000003</v>
      </c>
    </row>
    <row r="149" spans="1:22" x14ac:dyDescent="0.2">
      <c r="D149" s="17" t="s">
        <v>124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27">
        <f>+N145+N147+N148</f>
        <v>36.461754530579697</v>
      </c>
      <c r="O149" s="27">
        <f>+O145+O147+O148</f>
        <v>-19.173540295634893</v>
      </c>
      <c r="P149" s="27">
        <f>+P145+P147+P148</f>
        <v>-30.917314614475572</v>
      </c>
      <c r="Q149" s="27">
        <f>+Q145+Q147+Q148</f>
        <v>1.0158523107720612</v>
      </c>
      <c r="R149" s="27">
        <f>+R145+R147+R148</f>
        <v>79.222979028915688</v>
      </c>
    </row>
    <row r="150" spans="1:22" x14ac:dyDescent="0.2">
      <c r="D150" s="31" t="s">
        <v>125</v>
      </c>
      <c r="N150" s="39">
        <f>+(N156-$F$171*$F$168)+N149</f>
        <v>36.461754530579697</v>
      </c>
      <c r="O150" s="39">
        <f>+(O156-$F$171*$F$168)+O149</f>
        <v>17.288214234944689</v>
      </c>
      <c r="P150" s="39">
        <f>+(P156-$F$171*$F$168)+P149</f>
        <v>-13.629100379530882</v>
      </c>
      <c r="Q150" s="39">
        <f>+(Q156-$F$171*$F$168)+Q149</f>
        <v>1.0158523107720612</v>
      </c>
      <c r="R150" s="39">
        <f>+(R156-$F$171*$F$168)+R149</f>
        <v>79.222979028915688</v>
      </c>
    </row>
    <row r="151" spans="1:22" x14ac:dyDescent="0.2">
      <c r="D151" s="21" t="s">
        <v>102</v>
      </c>
      <c r="N151" s="34">
        <f>+N116</f>
        <v>0</v>
      </c>
      <c r="O151" s="34">
        <f>+O116</f>
        <v>0</v>
      </c>
      <c r="P151" s="34">
        <f>+P116</f>
        <v>13.629100379530882</v>
      </c>
      <c r="Q151" s="34">
        <f>+Q116</f>
        <v>-1.0158523107720612</v>
      </c>
      <c r="R151" s="34">
        <f>+R116</f>
        <v>-12.613248068758821</v>
      </c>
    </row>
    <row r="152" spans="1:22" x14ac:dyDescent="0.2">
      <c r="D152" s="21" t="s">
        <v>126</v>
      </c>
      <c r="N152" s="34">
        <f>+N91</f>
        <v>0</v>
      </c>
      <c r="O152" s="34">
        <f>+O91</f>
        <v>0</v>
      </c>
      <c r="P152" s="34">
        <f>+P91</f>
        <v>0</v>
      </c>
      <c r="Q152" s="34">
        <f>+Q91</f>
        <v>0</v>
      </c>
      <c r="R152" s="34">
        <f>+R91</f>
        <v>0</v>
      </c>
    </row>
    <row r="153" spans="1:22" x14ac:dyDescent="0.2">
      <c r="D153" s="21" t="s">
        <v>127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</row>
    <row r="154" spans="1:22" x14ac:dyDescent="0.2">
      <c r="D154" s="17" t="s">
        <v>128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27">
        <f>+N149+SUM(N151:N153)</f>
        <v>36.461754530579697</v>
      </c>
      <c r="O154" s="27">
        <f>+O149+SUM(O151:O153)</f>
        <v>-19.173540295634893</v>
      </c>
      <c r="P154" s="27">
        <f>+P149+SUM(P151:P153)</f>
        <v>-17.288214234944689</v>
      </c>
      <c r="Q154" s="27">
        <f>+Q149+SUM(Q151:Q153)</f>
        <v>0</v>
      </c>
      <c r="R154" s="27">
        <f>+R149+SUM(R151:R153)</f>
        <v>66.609730960156867</v>
      </c>
    </row>
    <row r="156" spans="1:22" x14ac:dyDescent="0.2">
      <c r="D156" s="21" t="s">
        <v>129</v>
      </c>
      <c r="M156" s="29">
        <f>+F171*F168</f>
        <v>1286.94</v>
      </c>
      <c r="N156" s="34">
        <f>+M157</f>
        <v>1286.94</v>
      </c>
      <c r="O156" s="34">
        <f>+N157</f>
        <v>1323.4017545305796</v>
      </c>
      <c r="P156" s="34">
        <f>+O157</f>
        <v>1304.2282142349447</v>
      </c>
      <c r="Q156" s="34">
        <f>+P157</f>
        <v>1286.94</v>
      </c>
      <c r="R156" s="34">
        <f>+Q157</f>
        <v>1286.94</v>
      </c>
    </row>
    <row r="157" spans="1:22" x14ac:dyDescent="0.2">
      <c r="D157" s="35" t="s">
        <v>130</v>
      </c>
      <c r="E157" s="35"/>
      <c r="F157" s="35"/>
      <c r="G157" s="35"/>
      <c r="H157" s="35"/>
      <c r="I157" s="35"/>
      <c r="J157" s="35"/>
      <c r="K157" s="35"/>
      <c r="L157" s="35"/>
      <c r="M157" s="36">
        <f>+M156</f>
        <v>1286.94</v>
      </c>
      <c r="N157" s="36">
        <f>+N156+N154</f>
        <v>1323.4017545305796</v>
      </c>
      <c r="O157" s="36">
        <f>+O156+O154</f>
        <v>1304.2282142349447</v>
      </c>
      <c r="P157" s="36">
        <f>+P156+P154</f>
        <v>1286.94</v>
      </c>
      <c r="Q157" s="36">
        <f>+Q156+Q154</f>
        <v>1286.94</v>
      </c>
      <c r="R157" s="36">
        <f>+R156+R154</f>
        <v>1353.5497309601569</v>
      </c>
    </row>
    <row r="160" spans="1:22" ht="16.05" customHeight="1" x14ac:dyDescent="0.2">
      <c r="A160" s="11" t="s">
        <v>4</v>
      </c>
      <c r="B160" s="11" t="s">
        <v>4</v>
      </c>
      <c r="C160" s="12" t="s">
        <v>131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2" spans="2:22" x14ac:dyDescent="0.2">
      <c r="B162" s="11" t="s">
        <v>4</v>
      </c>
      <c r="C162" s="13" t="s">
        <v>132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2:22" x14ac:dyDescent="0.2">
      <c r="B163" s="8">
        <v>6</v>
      </c>
      <c r="D163" s="40" t="s">
        <v>133</v>
      </c>
      <c r="F163" s="55">
        <f>+M29</f>
        <v>9433</v>
      </c>
      <c r="H163" s="40" t="s">
        <v>134</v>
      </c>
      <c r="K163" s="55">
        <f>+F166*F167-F172</f>
        <v>170403.096532</v>
      </c>
    </row>
    <row r="164" spans="2:22" x14ac:dyDescent="0.2">
      <c r="D164" s="21" t="s">
        <v>135</v>
      </c>
      <c r="F164" s="56">
        <v>55.42</v>
      </c>
      <c r="H164" s="40" t="s">
        <v>136</v>
      </c>
      <c r="K164" s="57">
        <f>+K163/F163</f>
        <v>18.064570818615497</v>
      </c>
    </row>
    <row r="165" spans="2:22" x14ac:dyDescent="0.2">
      <c r="D165" s="40" t="s">
        <v>137</v>
      </c>
      <c r="F165" s="58">
        <v>0.05</v>
      </c>
      <c r="H165" s="21" t="s">
        <v>138</v>
      </c>
      <c r="K165" s="59">
        <f>+K163/M26</f>
        <v>15.124087736930859</v>
      </c>
    </row>
    <row r="166" spans="2:22" x14ac:dyDescent="0.2">
      <c r="D166" s="40" t="s">
        <v>139</v>
      </c>
      <c r="F166" s="60">
        <f>+F164*(1+F165)</f>
        <v>58.191000000000003</v>
      </c>
      <c r="H166" s="40" t="s">
        <v>140</v>
      </c>
      <c r="K166" s="61">
        <v>2030</v>
      </c>
    </row>
    <row r="167" spans="2:22" x14ac:dyDescent="0.2">
      <c r="D167" s="21" t="s">
        <v>141</v>
      </c>
      <c r="F167" s="62">
        <v>3116.652</v>
      </c>
      <c r="H167" s="40" t="str">
        <f>"Exit multiple - Pre-IFRS 16 EBITDA "&amp;K166&amp;"E"</f>
        <v>Exit multiple - Pre-IFRS 16 EBITDA 2030E</v>
      </c>
      <c r="K167" s="63">
        <f>+K164</f>
        <v>18.064570818615497</v>
      </c>
    </row>
    <row r="168" spans="2:22" x14ac:dyDescent="0.2">
      <c r="D168" s="40" t="s">
        <v>142</v>
      </c>
      <c r="F168" s="64">
        <v>0.64346999999999999</v>
      </c>
      <c r="H168" s="21" t="s">
        <v>143</v>
      </c>
      <c r="K168" s="22">
        <v>1.4999999999999999E-2</v>
      </c>
    </row>
    <row r="169" spans="2:22" x14ac:dyDescent="0.2">
      <c r="D169" s="40" t="s">
        <v>144</v>
      </c>
      <c r="F169" s="55">
        <f>+F163*F168</f>
        <v>6069.8525099999997</v>
      </c>
      <c r="H169" s="21" t="s">
        <v>145</v>
      </c>
      <c r="K169" s="22">
        <v>1.4999999999999999E-2</v>
      </c>
    </row>
    <row r="170" spans="2:22" x14ac:dyDescent="0.2">
      <c r="D170" s="40" t="s">
        <v>146</v>
      </c>
      <c r="F170" s="55">
        <f>+F166*F167*F168</f>
        <v>116700.42478544604</v>
      </c>
      <c r="H170" s="21" t="s">
        <v>147</v>
      </c>
      <c r="K170" s="22">
        <v>5.0000000000000001E-3</v>
      </c>
    </row>
    <row r="171" spans="2:22" x14ac:dyDescent="0.2">
      <c r="D171" s="21" t="s">
        <v>148</v>
      </c>
      <c r="F171" s="62">
        <v>2000</v>
      </c>
    </row>
    <row r="172" spans="2:22" x14ac:dyDescent="0.2">
      <c r="D172" s="21" t="s">
        <v>149</v>
      </c>
      <c r="F172" s="62">
        <v>10958</v>
      </c>
    </row>
    <row r="173" spans="2:22" x14ac:dyDescent="0.2">
      <c r="D173" s="40" t="s">
        <v>150</v>
      </c>
      <c r="F173" s="55">
        <f>+MAX(0,F172-F171)*F168</f>
        <v>5764.2042599999995</v>
      </c>
    </row>
    <row r="175" spans="2:22" x14ac:dyDescent="0.2">
      <c r="D175" s="13" t="s">
        <v>151</v>
      </c>
      <c r="E175" s="13"/>
      <c r="F175" s="65" t="s">
        <v>152</v>
      </c>
      <c r="G175" s="65" t="s">
        <v>153</v>
      </c>
      <c r="H175" s="65" t="s">
        <v>154</v>
      </c>
      <c r="I175" s="65" t="s">
        <v>155</v>
      </c>
    </row>
    <row r="176" spans="2:22" x14ac:dyDescent="0.2">
      <c r="D176" s="40" t="s">
        <v>156</v>
      </c>
      <c r="F176" s="66">
        <f>+SUM(G178:G181)</f>
        <v>10.5</v>
      </c>
    </row>
    <row r="177" spans="2:22" x14ac:dyDescent="0.2">
      <c r="D177" s="21" t="s">
        <v>157</v>
      </c>
      <c r="F177" s="67">
        <f>+(E190*F178+E191*F179+E192*F180+E193*F181)/SUM(E190:E193)</f>
        <v>6.2142857142857139E-2</v>
      </c>
      <c r="G177" s="68">
        <v>0.03</v>
      </c>
    </row>
    <row r="178" spans="2:22" x14ac:dyDescent="0.2">
      <c r="D178" s="21" t="s">
        <v>158</v>
      </c>
      <c r="F178" s="67">
        <f>+$G$177+H178</f>
        <v>5.5E-2</v>
      </c>
      <c r="G178" s="69">
        <v>1.5</v>
      </c>
      <c r="H178" s="68">
        <v>2.5000000000000001E-2</v>
      </c>
    </row>
    <row r="179" spans="2:22" x14ac:dyDescent="0.2">
      <c r="D179" s="21" t="s">
        <v>159</v>
      </c>
      <c r="F179" s="67">
        <f>+$G$177+H179</f>
        <v>6.5000000000000002E-2</v>
      </c>
      <c r="G179" s="69">
        <v>3</v>
      </c>
      <c r="H179" s="68">
        <v>3.5000000000000003E-2</v>
      </c>
    </row>
    <row r="180" spans="2:22" x14ac:dyDescent="0.2">
      <c r="D180" s="21" t="s">
        <v>160</v>
      </c>
      <c r="F180" s="67">
        <f>+$G$177+H180</f>
        <v>7.7499999999999999E-2</v>
      </c>
      <c r="G180" s="69">
        <v>2</v>
      </c>
      <c r="H180" s="68">
        <v>4.7500000000000001E-2</v>
      </c>
      <c r="I180" s="70">
        <v>0</v>
      </c>
    </row>
    <row r="181" spans="2:22" x14ac:dyDescent="0.2">
      <c r="D181" s="21" t="s">
        <v>161</v>
      </c>
      <c r="F181" s="67">
        <f>+H181</f>
        <v>5.5E-2</v>
      </c>
      <c r="G181" s="69">
        <v>4</v>
      </c>
      <c r="H181" s="68">
        <v>5.5E-2</v>
      </c>
      <c r="I181" s="70">
        <v>0</v>
      </c>
    </row>
    <row r="182" spans="2:22" x14ac:dyDescent="0.2">
      <c r="D182" s="21" t="s">
        <v>162</v>
      </c>
      <c r="F182" s="42">
        <v>0</v>
      </c>
    </row>
    <row r="183" spans="2:22" x14ac:dyDescent="0.2">
      <c r="D183" s="40" t="s">
        <v>163</v>
      </c>
      <c r="F183" s="71">
        <v>0</v>
      </c>
    </row>
    <row r="184" spans="2:22" x14ac:dyDescent="0.2">
      <c r="D184" s="21" t="s">
        <v>164</v>
      </c>
      <c r="F184" s="33">
        <v>2000</v>
      </c>
    </row>
    <row r="185" spans="2:22" x14ac:dyDescent="0.2">
      <c r="D185" s="21" t="s">
        <v>165</v>
      </c>
      <c r="F185" s="67">
        <f>+$G$177+H185</f>
        <v>5.2499999999999998E-2</v>
      </c>
      <c r="H185" s="68">
        <v>2.2499999999999999E-2</v>
      </c>
    </row>
    <row r="186" spans="2:22" x14ac:dyDescent="0.2">
      <c r="D186" s="21" t="s">
        <v>166</v>
      </c>
      <c r="F186" s="68">
        <v>3.5000000000000001E-3</v>
      </c>
    </row>
    <row r="188" spans="2:22" x14ac:dyDescent="0.2">
      <c r="B188" s="11" t="s">
        <v>4</v>
      </c>
      <c r="C188" s="13" t="s">
        <v>167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2:22" x14ac:dyDescent="0.2">
      <c r="D189" s="12" t="s">
        <v>168</v>
      </c>
      <c r="E189" s="72" t="s">
        <v>29</v>
      </c>
      <c r="F189" s="72" t="s">
        <v>169</v>
      </c>
    </row>
    <row r="190" spans="2:22" x14ac:dyDescent="0.2">
      <c r="D190" s="21" t="s">
        <v>170</v>
      </c>
      <c r="E190" s="34">
        <f>+G178*F169</f>
        <v>9104.7787649999991</v>
      </c>
      <c r="F190" s="30">
        <f t="shared" ref="F190:F197" si="39">+E190/$E$197</f>
        <v>7.6483275074925472E-2</v>
      </c>
    </row>
    <row r="191" spans="2:22" x14ac:dyDescent="0.2">
      <c r="D191" s="21" t="s">
        <v>171</v>
      </c>
      <c r="E191" s="34">
        <f>+G179*F169</f>
        <v>18209.557529999998</v>
      </c>
      <c r="F191" s="30">
        <f t="shared" si="39"/>
        <v>0.15296655014985094</v>
      </c>
    </row>
    <row r="192" spans="2:22" x14ac:dyDescent="0.2">
      <c r="D192" s="21" t="s">
        <v>172</v>
      </c>
      <c r="E192" s="34">
        <f>+G180*F169</f>
        <v>12139.705019999999</v>
      </c>
      <c r="F192" s="30">
        <f t="shared" si="39"/>
        <v>0.10197770009990063</v>
      </c>
    </row>
    <row r="193" spans="4:6" x14ac:dyDescent="0.2">
      <c r="D193" s="21" t="s">
        <v>173</v>
      </c>
      <c r="E193" s="34">
        <f>+G181*F169</f>
        <v>24279.410039999999</v>
      </c>
      <c r="F193" s="30">
        <f t="shared" si="39"/>
        <v>0.20395540019980127</v>
      </c>
    </row>
    <row r="194" spans="4:6" x14ac:dyDescent="0.2">
      <c r="D194" s="73" t="s">
        <v>174</v>
      </c>
      <c r="E194" s="33">
        <v>0</v>
      </c>
      <c r="F194" s="42">
        <f t="shared" si="39"/>
        <v>0</v>
      </c>
    </row>
    <row r="195" spans="4:6" x14ac:dyDescent="0.2">
      <c r="D195" s="21" t="s">
        <v>175</v>
      </c>
      <c r="E195" s="34">
        <f>+F173</f>
        <v>5764.2042599999995</v>
      </c>
      <c r="F195" s="30">
        <f t="shared" si="39"/>
        <v>4.8421299559785323E-2</v>
      </c>
    </row>
    <row r="196" spans="4:6" x14ac:dyDescent="0.2">
      <c r="D196" s="40" t="s">
        <v>176</v>
      </c>
      <c r="E196" s="41">
        <f>+E197-SUM(E190:E195)</f>
        <v>49545.086161952742</v>
      </c>
      <c r="F196" s="74">
        <f t="shared" si="39"/>
        <v>0.41619577491573634</v>
      </c>
    </row>
    <row r="197" spans="4:6" x14ac:dyDescent="0.2">
      <c r="D197" s="35" t="s">
        <v>177</v>
      </c>
      <c r="E197" s="36">
        <f>+E204</f>
        <v>119042.74177695274</v>
      </c>
      <c r="F197" s="37">
        <f t="shared" si="39"/>
        <v>1</v>
      </c>
    </row>
    <row r="199" spans="4:6" x14ac:dyDescent="0.2">
      <c r="D199" s="12" t="s">
        <v>178</v>
      </c>
      <c r="E199" s="72" t="s">
        <v>29</v>
      </c>
      <c r="F199" s="72" t="s">
        <v>169</v>
      </c>
    </row>
    <row r="200" spans="4:6" x14ac:dyDescent="0.2">
      <c r="D200" s="21" t="s">
        <v>179</v>
      </c>
      <c r="E200" s="34">
        <f>+F170</f>
        <v>116700.42478544604</v>
      </c>
      <c r="F200" s="30">
        <f>+E200/$E$204</f>
        <v>0.98032373115283722</v>
      </c>
    </row>
    <row r="201" spans="4:6" x14ac:dyDescent="0.2">
      <c r="D201" s="21" t="s">
        <v>180</v>
      </c>
      <c r="E201" s="33">
        <v>0</v>
      </c>
      <c r="F201" s="30">
        <f>+E201/$E$204</f>
        <v>0</v>
      </c>
    </row>
    <row r="202" spans="4:6" x14ac:dyDescent="0.2">
      <c r="D202" s="21" t="s">
        <v>145</v>
      </c>
      <c r="E202" s="34">
        <f>+SUM(E190:E192)*K169</f>
        <v>591.81061972499992</v>
      </c>
      <c r="F202" s="30">
        <f>+E202/$E$204</f>
        <v>4.9714128798701556E-3</v>
      </c>
    </row>
    <row r="203" spans="4:6" x14ac:dyDescent="0.2">
      <c r="D203" s="21" t="s">
        <v>181</v>
      </c>
      <c r="E203" s="34">
        <f>+E200*K168</f>
        <v>1750.5063717816906</v>
      </c>
      <c r="F203" s="30">
        <f>+E203/$E$204</f>
        <v>1.4704855967292558E-2</v>
      </c>
    </row>
    <row r="204" spans="4:6" x14ac:dyDescent="0.2">
      <c r="D204" s="35" t="s">
        <v>182</v>
      </c>
      <c r="E204" s="36">
        <f>+SUM(E200:E203)</f>
        <v>119042.74177695274</v>
      </c>
      <c r="F204" s="37">
        <f>+E204/$E$204</f>
        <v>1</v>
      </c>
    </row>
    <row r="206" spans="4:6" x14ac:dyDescent="0.2">
      <c r="D206" s="12" t="s">
        <v>183</v>
      </c>
      <c r="E206" s="72" t="s">
        <v>29</v>
      </c>
      <c r="F206" s="72" t="s">
        <v>184</v>
      </c>
    </row>
    <row r="207" spans="4:6" x14ac:dyDescent="0.2">
      <c r="D207" s="21" t="s">
        <v>185</v>
      </c>
      <c r="E207" s="33">
        <v>0</v>
      </c>
      <c r="F207" s="67">
        <f>+E207/$E$209</f>
        <v>0</v>
      </c>
    </row>
    <row r="208" spans="4:6" x14ac:dyDescent="0.2">
      <c r="D208" s="40" t="s">
        <v>186</v>
      </c>
      <c r="E208" s="41">
        <f>+E196</f>
        <v>49545.086161952742</v>
      </c>
      <c r="F208" s="67">
        <f>+E208/$E$209</f>
        <v>1</v>
      </c>
    </row>
    <row r="209" spans="2:22" x14ac:dyDescent="0.2">
      <c r="D209" s="35" t="s">
        <v>187</v>
      </c>
      <c r="E209" s="36">
        <f>+SUM(E207:E208)</f>
        <v>49545.086161952742</v>
      </c>
      <c r="F209" s="75">
        <f>+SUM(F207:F208)</f>
        <v>1</v>
      </c>
    </row>
    <row r="212" spans="2:22" ht="13.95" customHeight="1" x14ac:dyDescent="0.2">
      <c r="B212" s="11" t="s">
        <v>4</v>
      </c>
      <c r="C212" s="13" t="s">
        <v>188</v>
      </c>
      <c r="D212" s="13"/>
      <c r="E212" s="13"/>
      <c r="F212" s="13"/>
      <c r="G212" s="13"/>
      <c r="H212" s="13"/>
      <c r="I212" s="13"/>
      <c r="J212" s="14" t="s">
        <v>11</v>
      </c>
      <c r="K212" s="14" t="s">
        <v>11</v>
      </c>
      <c r="L212" s="14" t="s">
        <v>11</v>
      </c>
      <c r="M212" s="14" t="s">
        <v>11</v>
      </c>
      <c r="N212" s="14" t="s">
        <v>11</v>
      </c>
      <c r="O212" s="14" t="s">
        <v>11</v>
      </c>
      <c r="P212" s="14" t="s">
        <v>11</v>
      </c>
      <c r="Q212" s="14" t="s">
        <v>11</v>
      </c>
      <c r="R212" s="14" t="s">
        <v>11</v>
      </c>
      <c r="S212" s="13"/>
      <c r="T212" s="13"/>
      <c r="U212" s="13"/>
      <c r="V212" s="13"/>
    </row>
    <row r="213" spans="2:22" ht="13.95" customHeight="1" x14ac:dyDescent="0.2">
      <c r="C213" s="13" t="s">
        <v>29</v>
      </c>
      <c r="D213" s="13"/>
      <c r="E213" s="13"/>
      <c r="F213" s="13"/>
      <c r="G213" s="13"/>
      <c r="H213" s="13"/>
      <c r="I213" s="13"/>
      <c r="J213" s="15">
        <f>+J20</f>
        <v>2022</v>
      </c>
      <c r="K213" s="15">
        <f t="shared" ref="K213:R213" si="40">+J213+1</f>
        <v>2023</v>
      </c>
      <c r="L213" s="15">
        <f t="shared" si="40"/>
        <v>2024</v>
      </c>
      <c r="M213" s="15">
        <f t="shared" si="40"/>
        <v>2025</v>
      </c>
      <c r="N213" s="16">
        <f t="shared" si="40"/>
        <v>2026</v>
      </c>
      <c r="O213" s="16">
        <f t="shared" si="40"/>
        <v>2027</v>
      </c>
      <c r="P213" s="16">
        <f t="shared" si="40"/>
        <v>2028</v>
      </c>
      <c r="Q213" s="16">
        <f t="shared" si="40"/>
        <v>2029</v>
      </c>
      <c r="R213" s="16">
        <f t="shared" si="40"/>
        <v>2030</v>
      </c>
      <c r="S213" s="13"/>
      <c r="T213" s="13"/>
      <c r="U213" s="13"/>
      <c r="V213" s="13"/>
    </row>
    <row r="215" spans="2:22" x14ac:dyDescent="0.2">
      <c r="B215" s="8">
        <v>7</v>
      </c>
      <c r="D215" s="21" t="s">
        <v>189</v>
      </c>
      <c r="N215" s="76">
        <f>+$K$167</f>
        <v>18.064570818615497</v>
      </c>
      <c r="O215" s="76">
        <f>+$K$167</f>
        <v>18.064570818615497</v>
      </c>
      <c r="P215" s="76">
        <f>+$K$167</f>
        <v>18.064570818615497</v>
      </c>
      <c r="Q215" s="76">
        <f>+$K$167</f>
        <v>18.064570818615497</v>
      </c>
      <c r="R215" s="76">
        <f>+$K$167</f>
        <v>18.064570818615497</v>
      </c>
    </row>
    <row r="216" spans="2:22" x14ac:dyDescent="0.2">
      <c r="D216" s="21" t="s">
        <v>117</v>
      </c>
      <c r="N216" s="34">
        <f>+N29*$F$168</f>
        <v>6526.7980207757964</v>
      </c>
      <c r="O216" s="34">
        <f>+O29*$F$168</f>
        <v>7028.1476244247788</v>
      </c>
      <c r="P216" s="34">
        <f>+P29*$F$168</f>
        <v>7562.1744894690355</v>
      </c>
      <c r="Q216" s="34">
        <f>+Q29*$F$168</f>
        <v>8130.873785504341</v>
      </c>
      <c r="R216" s="34">
        <f>+R29*$F$168</f>
        <v>8736.3584488897086</v>
      </c>
    </row>
    <row r="217" spans="2:22" x14ac:dyDescent="0.2">
      <c r="D217" s="17" t="s">
        <v>190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27">
        <f>+N216*N215</f>
        <v>117903.80506510384</v>
      </c>
      <c r="O217" s="27">
        <f>+O216*O215</f>
        <v>126960.47048510569</v>
      </c>
      <c r="P217" s="27">
        <f>+P216*P215</f>
        <v>136607.43660774088</v>
      </c>
      <c r="Q217" s="27">
        <f>+Q216*Q215</f>
        <v>146880.74531546744</v>
      </c>
      <c r="R217" s="27">
        <f>+R216*R215</f>
        <v>157818.56589677799</v>
      </c>
    </row>
    <row r="218" spans="2:22" x14ac:dyDescent="0.2">
      <c r="D218" s="21" t="s">
        <v>191</v>
      </c>
      <c r="N218" s="34">
        <f>-N131</f>
        <v>-62822.973478500004</v>
      </c>
      <c r="O218" s="34">
        <f>-O131</f>
        <v>-61457.256663749999</v>
      </c>
      <c r="P218" s="34">
        <f>-P131</f>
        <v>-59649.930011129531</v>
      </c>
      <c r="Q218" s="34">
        <f>-Q131</f>
        <v>-57372.719467568757</v>
      </c>
      <c r="R218" s="34">
        <f>-R131</f>
        <v>-54628.672590000002</v>
      </c>
    </row>
    <row r="219" spans="2:22" x14ac:dyDescent="0.2">
      <c r="D219" s="21" t="s">
        <v>192</v>
      </c>
      <c r="N219" s="34">
        <f>+N157</f>
        <v>1323.4017545305796</v>
      </c>
      <c r="O219" s="34">
        <f>+O157</f>
        <v>1304.2282142349447</v>
      </c>
      <c r="P219" s="34">
        <f>+P157</f>
        <v>1286.94</v>
      </c>
      <c r="Q219" s="34">
        <f>+Q157</f>
        <v>1286.94</v>
      </c>
      <c r="R219" s="34">
        <f>+R157</f>
        <v>1353.5497309601569</v>
      </c>
    </row>
    <row r="220" spans="2:22" x14ac:dyDescent="0.2">
      <c r="D220" s="21" t="s">
        <v>193</v>
      </c>
      <c r="N220" s="34">
        <f>-N153</f>
        <v>0</v>
      </c>
      <c r="O220" s="34">
        <f>-O153</f>
        <v>0</v>
      </c>
      <c r="P220" s="34">
        <f>-P153</f>
        <v>0</v>
      </c>
      <c r="Q220" s="34">
        <f>-Q153</f>
        <v>0</v>
      </c>
      <c r="R220" s="34">
        <f>-R153</f>
        <v>0</v>
      </c>
    </row>
    <row r="221" spans="2:22" x14ac:dyDescent="0.2">
      <c r="D221" s="21" t="s">
        <v>194</v>
      </c>
      <c r="N221" s="34">
        <f>-$K$170*N217</f>
        <v>-589.51902532551924</v>
      </c>
      <c r="O221" s="34">
        <f>-$K$170*O217</f>
        <v>-634.80235242552851</v>
      </c>
      <c r="P221" s="34">
        <f>-$K$170*P217</f>
        <v>-683.03718303870437</v>
      </c>
      <c r="Q221" s="34">
        <f>-$K$170*Q217</f>
        <v>-734.40372657733724</v>
      </c>
      <c r="R221" s="34">
        <f>-$K$170*R217</f>
        <v>-789.09282948389</v>
      </c>
    </row>
    <row r="222" spans="2:22" x14ac:dyDescent="0.2">
      <c r="D222" s="35" t="s">
        <v>195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6">
        <f>+SUM(N217:N221)</f>
        <v>55814.714315808895</v>
      </c>
      <c r="O222" s="36">
        <f>+SUM(O217:O221)</f>
        <v>66172.639683165107</v>
      </c>
      <c r="P222" s="36">
        <f>+SUM(P217:P221)</f>
        <v>77561.409413572648</v>
      </c>
      <c r="Q222" s="36">
        <f>+SUM(Q217:Q221)</f>
        <v>90060.562121321345</v>
      </c>
      <c r="R222" s="36">
        <f>+SUM(R217:R221)</f>
        <v>103754.35020825425</v>
      </c>
    </row>
    <row r="224" spans="2:22" x14ac:dyDescent="0.2">
      <c r="D224" s="21" t="s">
        <v>196</v>
      </c>
      <c r="N224" s="34">
        <f>+N222*$F$207</f>
        <v>0</v>
      </c>
      <c r="O224" s="34">
        <f>+O222*$F$207</f>
        <v>0</v>
      </c>
      <c r="P224" s="34">
        <f>+P222*$F$207</f>
        <v>0</v>
      </c>
      <c r="Q224" s="34">
        <f>+Q222*$F$207</f>
        <v>0</v>
      </c>
      <c r="R224" s="34">
        <f>+R222*$F$207</f>
        <v>0</v>
      </c>
    </row>
    <row r="225" spans="4:22" x14ac:dyDescent="0.2">
      <c r="D225" s="40" t="s">
        <v>197</v>
      </c>
      <c r="N225" s="41">
        <f>+N222*$F$208</f>
        <v>55814.714315808895</v>
      </c>
      <c r="O225" s="41">
        <f>+O222*$F$208</f>
        <v>66172.639683165107</v>
      </c>
      <c r="P225" s="41">
        <f>+P222*$F$208</f>
        <v>77561.409413572648</v>
      </c>
      <c r="Q225" s="41">
        <f>+Q222*$F$208</f>
        <v>90060.562121321345</v>
      </c>
      <c r="R225" s="41">
        <f>+R222*$F$208</f>
        <v>103754.35020825425</v>
      </c>
    </row>
    <row r="227" spans="4:22" x14ac:dyDescent="0.2">
      <c r="D227" s="40" t="s">
        <v>198</v>
      </c>
    </row>
    <row r="229" spans="4:22" x14ac:dyDescent="0.2">
      <c r="D229" s="77" t="s">
        <v>199</v>
      </c>
      <c r="E229" s="77"/>
      <c r="F229" s="78">
        <f>+INDEX(U235:U239,MATCH($K$166,D235:D239,0))</f>
        <v>0.15922031998634348</v>
      </c>
      <c r="N229" s="74">
        <f>+U235</f>
        <v>0.12654389739036559</v>
      </c>
      <c r="O229" s="74">
        <f>+U236</f>
        <v>0.15568355917930607</v>
      </c>
      <c r="P229" s="74">
        <f>+U237</f>
        <v>0.1609740197658539</v>
      </c>
      <c r="Q229" s="74">
        <f>+U238</f>
        <v>0.16101841330528263</v>
      </c>
      <c r="R229" s="74">
        <f>+U239</f>
        <v>0.15922031998634348</v>
      </c>
    </row>
    <row r="230" spans="4:22" x14ac:dyDescent="0.2">
      <c r="D230" s="77" t="s">
        <v>200</v>
      </c>
      <c r="E230" s="77"/>
      <c r="F230" s="79">
        <f>+INDEX(V235:V239,MATCH($K$166,D235:D239,0))</f>
        <v>2.0941400700990314</v>
      </c>
      <c r="N230" s="66">
        <f>+V235</f>
        <v>1.1265438944512483</v>
      </c>
      <c r="O230" s="66">
        <f>+V236</f>
        <v>1.335604492983629</v>
      </c>
      <c r="P230" s="66">
        <f>+V237</f>
        <v>1.5654712792312093</v>
      </c>
      <c r="Q230" s="66">
        <f>+V238</f>
        <v>1.8177496316573516</v>
      </c>
      <c r="R230" s="66">
        <f>+V239</f>
        <v>2.0941400700990314</v>
      </c>
    </row>
    <row r="232" spans="4:22" x14ac:dyDescent="0.2">
      <c r="M232" s="80">
        <f t="shared" ref="M232:R232" si="41">+DATE(M234+1,1,31)</f>
        <v>46053</v>
      </c>
      <c r="N232" s="80">
        <f t="shared" si="41"/>
        <v>46418</v>
      </c>
      <c r="O232" s="80">
        <f t="shared" si="41"/>
        <v>46783</v>
      </c>
      <c r="P232" s="80">
        <f t="shared" si="41"/>
        <v>47149</v>
      </c>
      <c r="Q232" s="80">
        <f t="shared" si="41"/>
        <v>47514</v>
      </c>
      <c r="R232" s="80">
        <f t="shared" si="41"/>
        <v>47879</v>
      </c>
    </row>
    <row r="233" spans="4:22" x14ac:dyDescent="0.2">
      <c r="D233" s="13" t="s">
        <v>201</v>
      </c>
      <c r="E233" s="13"/>
      <c r="F233" s="13"/>
      <c r="G233" s="13"/>
      <c r="H233" s="13"/>
      <c r="I233" s="13"/>
      <c r="J233" s="13"/>
      <c r="K233" s="13"/>
      <c r="L233" s="13"/>
      <c r="M233" s="14" t="s">
        <v>11</v>
      </c>
      <c r="N233" s="14" t="s">
        <v>11</v>
      </c>
      <c r="O233" s="14" t="s">
        <v>11</v>
      </c>
      <c r="P233" s="14" t="s">
        <v>11</v>
      </c>
      <c r="Q233" s="14" t="s">
        <v>11</v>
      </c>
      <c r="R233" s="14" t="s">
        <v>11</v>
      </c>
      <c r="S233" s="13"/>
      <c r="T233" s="13"/>
      <c r="U233" s="13"/>
      <c r="V233" s="13"/>
    </row>
    <row r="234" spans="4:22" x14ac:dyDescent="0.2">
      <c r="D234" s="13" t="s">
        <v>202</v>
      </c>
      <c r="E234" s="13"/>
      <c r="F234" s="13"/>
      <c r="G234" s="13"/>
      <c r="H234" s="13"/>
      <c r="I234" s="13"/>
      <c r="J234" s="13"/>
      <c r="K234" s="13"/>
      <c r="L234" s="13"/>
      <c r="M234" s="15">
        <v>2025</v>
      </c>
      <c r="N234" s="16">
        <f>+M234+1</f>
        <v>2026</v>
      </c>
      <c r="O234" s="16">
        <f>+N234+1</f>
        <v>2027</v>
      </c>
      <c r="P234" s="16">
        <f>+O234+1</f>
        <v>2028</v>
      </c>
      <c r="Q234" s="16">
        <f>+P234+1</f>
        <v>2029</v>
      </c>
      <c r="R234" s="16">
        <f>+Q234+1</f>
        <v>2030</v>
      </c>
      <c r="S234" s="13"/>
      <c r="T234" s="13"/>
      <c r="U234" s="65" t="s">
        <v>203</v>
      </c>
      <c r="V234" s="65" t="s">
        <v>204</v>
      </c>
    </row>
    <row r="235" spans="4:22" x14ac:dyDescent="0.2">
      <c r="D235" s="81">
        <f>+N234</f>
        <v>2026</v>
      </c>
      <c r="M235" s="34">
        <f>-$E$196</f>
        <v>-49545.086161952742</v>
      </c>
      <c r="N235" s="34">
        <f>+(IF($D235=N$234,N$222,0)+N$220)*$F$208</f>
        <v>55814.714315808895</v>
      </c>
      <c r="O235" s="34">
        <v>0</v>
      </c>
      <c r="P235" s="34">
        <v>0</v>
      </c>
      <c r="Q235" s="34">
        <v>0</v>
      </c>
      <c r="R235" s="34">
        <v>0</v>
      </c>
      <c r="U235" s="74">
        <f>+IFERROR(XIRR(M235:N235,$M$232:$N$232),0)</f>
        <v>0.12654389739036559</v>
      </c>
      <c r="V235" s="66">
        <f>-SUM(N235:N235)/M235</f>
        <v>1.1265438944512483</v>
      </c>
    </row>
    <row r="236" spans="4:22" x14ac:dyDescent="0.2">
      <c r="D236" s="81">
        <f>+O234</f>
        <v>2027</v>
      </c>
      <c r="M236" s="34">
        <f>-$E$196</f>
        <v>-49545.086161952742</v>
      </c>
      <c r="N236" s="34">
        <f>+(IF($D236=N$234,N$222,0)+N$220)*$F$208</f>
        <v>0</v>
      </c>
      <c r="O236" s="34">
        <f>+(IF($D236=O$234,O$222,0)+O$220)*$F$208</f>
        <v>66172.639683165107</v>
      </c>
      <c r="P236" s="34">
        <v>0</v>
      </c>
      <c r="Q236" s="34">
        <v>0</v>
      </c>
      <c r="R236" s="34">
        <v>0</v>
      </c>
      <c r="U236" s="74">
        <f>+IFERROR(XIRR(M236:O236,$M$232:$O$232),0)</f>
        <v>0.15568355917930607</v>
      </c>
      <c r="V236" s="66">
        <f>-SUM(N236:O236)/M236</f>
        <v>1.335604492983629</v>
      </c>
    </row>
    <row r="237" spans="4:22" x14ac:dyDescent="0.2">
      <c r="D237" s="81">
        <f>+P234</f>
        <v>2028</v>
      </c>
      <c r="M237" s="34">
        <f>-$E$196</f>
        <v>-49545.086161952742</v>
      </c>
      <c r="N237" s="34">
        <f>+(IF($D237=N$234,N$222,0)+N$220)*$F$208</f>
        <v>0</v>
      </c>
      <c r="O237" s="34">
        <f>+(IF($D237=O$234,O$222,0)+O$220)*$F$208</f>
        <v>0</v>
      </c>
      <c r="P237" s="34">
        <f>+(IF($D237=P$234,P$222,0)+P$220)*$F$208</f>
        <v>77561.409413572648</v>
      </c>
      <c r="Q237" s="34">
        <v>0</v>
      </c>
      <c r="R237" s="34">
        <v>0</v>
      </c>
      <c r="U237" s="74">
        <f>+IFERROR(XIRR(M237:P237,$M$232:$P$232),0)</f>
        <v>0.1609740197658539</v>
      </c>
      <c r="V237" s="66">
        <f>-SUM(N237:P237)/M237</f>
        <v>1.5654712792312093</v>
      </c>
    </row>
    <row r="238" spans="4:22" x14ac:dyDescent="0.2">
      <c r="D238" s="81">
        <f>+Q234</f>
        <v>2029</v>
      </c>
      <c r="M238" s="34">
        <f>-$E$196</f>
        <v>-49545.086161952742</v>
      </c>
      <c r="N238" s="34">
        <f>+(IF($D238=N$234,N$222,0)+N$220)*$F$208</f>
        <v>0</v>
      </c>
      <c r="O238" s="34">
        <f>+(IF($D238=O$234,O$222,0)+O$220)*$F$208</f>
        <v>0</v>
      </c>
      <c r="P238" s="34">
        <f>+(IF($D238=P$234,P$222,0)+P$220)*$F$208</f>
        <v>0</v>
      </c>
      <c r="Q238" s="34">
        <f>+(IF($D238=Q$234,Q$222,0)+Q$220)*$F$208</f>
        <v>90060.562121321345</v>
      </c>
      <c r="R238" s="34">
        <v>0</v>
      </c>
      <c r="U238" s="74">
        <f>+IFERROR(XIRR(M238:Q238,$M$232:$Q$232),0)</f>
        <v>0.16101841330528263</v>
      </c>
      <c r="V238" s="66">
        <f>-SUM(N238:Q238)/M238</f>
        <v>1.8177496316573516</v>
      </c>
    </row>
    <row r="239" spans="4:22" x14ac:dyDescent="0.2">
      <c r="D239" s="81">
        <f>+R234</f>
        <v>2030</v>
      </c>
      <c r="M239" s="34">
        <f>-$E$196</f>
        <v>-49545.086161952742</v>
      </c>
      <c r="N239" s="34">
        <f>+(IF($D239=N$234,N$222,0)+N$220)*$F$208</f>
        <v>0</v>
      </c>
      <c r="O239" s="34">
        <f>+(IF($D239=O$234,O$222,0)+O$220)*$F$208</f>
        <v>0</v>
      </c>
      <c r="P239" s="34">
        <f>+(IF($D239=P$234,P$222,0)+P$220)*$F$208</f>
        <v>0</v>
      </c>
      <c r="Q239" s="34">
        <f>+(IF($D239=Q$234,Q$222,0)+Q$220)*$F$208</f>
        <v>0</v>
      </c>
      <c r="R239" s="34">
        <f>+(IF($D239=R$234,R$222,0)+R$220)*$F$208</f>
        <v>103754.35020825425</v>
      </c>
      <c r="U239" s="74">
        <f>+IFERROR(XIRR(M239:R239,$M$232:$R$232),0)</f>
        <v>0.15922031998634348</v>
      </c>
      <c r="V239" s="66">
        <f>-SUM(N239:R239)/M239</f>
        <v>2.0941400700990314</v>
      </c>
    </row>
    <row r="241" spans="2:22" x14ac:dyDescent="0.2">
      <c r="D241" s="35" t="str">
        <f>"Active Exit @ "&amp;K166&amp;"E"</f>
        <v>Active Exit @ 2030E</v>
      </c>
      <c r="E241" s="35"/>
      <c r="F241" s="35"/>
      <c r="G241" s="35"/>
      <c r="H241" s="35"/>
      <c r="I241" s="35"/>
      <c r="J241" s="35"/>
      <c r="K241" s="35"/>
      <c r="L241" s="35"/>
      <c r="M241" s="36">
        <f t="shared" ref="M241:R241" si="42">+INDEX(M235:M239,MATCH($K$166,$D$235:$D$239,0))</f>
        <v>-49545.086161952742</v>
      </c>
      <c r="N241" s="36">
        <f t="shared" si="42"/>
        <v>0</v>
      </c>
      <c r="O241" s="36">
        <f t="shared" si="42"/>
        <v>0</v>
      </c>
      <c r="P241" s="36">
        <f t="shared" si="42"/>
        <v>0</v>
      </c>
      <c r="Q241" s="36">
        <f t="shared" si="42"/>
        <v>0</v>
      </c>
      <c r="R241" s="36">
        <f t="shared" si="42"/>
        <v>103754.35020825425</v>
      </c>
      <c r="S241" s="35"/>
      <c r="T241" s="35"/>
      <c r="U241" s="37">
        <f>+F229</f>
        <v>0.15922031998634348</v>
      </c>
      <c r="V241" s="82">
        <f>+F230</f>
        <v>2.0941400700990314</v>
      </c>
    </row>
    <row r="244" spans="2:22" x14ac:dyDescent="0.2">
      <c r="B244" s="11" t="s">
        <v>4</v>
      </c>
      <c r="C244" s="13" t="s">
        <v>205</v>
      </c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6" spans="2:22" x14ac:dyDescent="0.2">
      <c r="D246" s="40" t="s">
        <v>206</v>
      </c>
      <c r="J246" s="40" t="s">
        <v>207</v>
      </c>
      <c r="N246" s="12" t="s">
        <v>208</v>
      </c>
      <c r="O246" s="12"/>
      <c r="P246" s="12"/>
      <c r="Q246" s="72" t="s">
        <v>209</v>
      </c>
      <c r="R246" s="83" t="s">
        <v>210</v>
      </c>
    </row>
    <row r="247" spans="2:22" x14ac:dyDescent="0.2">
      <c r="D247" s="12" t="s">
        <v>211</v>
      </c>
      <c r="E247" s="84">
        <v>9</v>
      </c>
      <c r="F247" s="84">
        <v>10.5</v>
      </c>
      <c r="G247" s="84">
        <v>12</v>
      </c>
      <c r="J247" s="72" t="s">
        <v>212</v>
      </c>
      <c r="K247" s="72" t="s">
        <v>213</v>
      </c>
      <c r="L247" s="72" t="s">
        <v>214</v>
      </c>
      <c r="N247" s="21" t="s">
        <v>215</v>
      </c>
      <c r="Q247" s="34">
        <f>+E197-E204</f>
        <v>0</v>
      </c>
      <c r="R247" s="85" t="str">
        <f>IF(ABS(Q247)&lt;0.01,"OK","CHECK")</f>
        <v>OK</v>
      </c>
    </row>
    <row r="248" spans="2:22" x14ac:dyDescent="0.2">
      <c r="D248" s="86">
        <v>0</v>
      </c>
      <c r="E248" s="87">
        <f t="shared" ref="E248:G250" si="43">+(J248)^(365/($R$232-$M$232))-1</f>
        <v>0.15093470834680933</v>
      </c>
      <c r="F248" s="87">
        <f t="shared" si="43"/>
        <v>0.16877344175968956</v>
      </c>
      <c r="G248" s="87">
        <f t="shared" si="43"/>
        <v>0.19401433253638722</v>
      </c>
      <c r="J248" s="88">
        <f t="shared" ref="J248:L250" si="44">+(($R$222+(((($F$164*(1+$D248)*$F$167-$F$172)/$F$163)-$K$167)*$R$216*(1-$K$170))-((E$247-$F$176)*$F$169*(1+5*$F$177*(1-$F$36))))*$F$208)/(($F$164*(1+$D248)*$F$167*$F$168)*(1+$K$168)+$E$202-(E$247*$F$169)-$E$195)</f>
        <v>2.0203224873704371</v>
      </c>
      <c r="K248" s="88">
        <f t="shared" si="44"/>
        <v>2.1819120210794112</v>
      </c>
      <c r="L248" s="88">
        <f t="shared" si="44"/>
        <v>2.4280559206435202</v>
      </c>
      <c r="N248" s="21" t="s">
        <v>216</v>
      </c>
      <c r="Q248" s="89">
        <f>+F209-1</f>
        <v>0</v>
      </c>
      <c r="R248" s="85" t="str">
        <f>IF(ABS(Q248)&lt;0.0001,"OK","CHECK")</f>
        <v>OK</v>
      </c>
    </row>
    <row r="249" spans="2:22" x14ac:dyDescent="0.2">
      <c r="D249" s="86">
        <v>0.05</v>
      </c>
      <c r="E249" s="87">
        <f t="shared" si="43"/>
        <v>0.14418225215889935</v>
      </c>
      <c r="F249" s="90">
        <f t="shared" si="43"/>
        <v>0.15922032169421341</v>
      </c>
      <c r="G249" s="87">
        <f t="shared" si="43"/>
        <v>0.17973151328233872</v>
      </c>
      <c r="J249" s="88">
        <f t="shared" si="44"/>
        <v>1.9617167293575504</v>
      </c>
      <c r="K249" s="91">
        <f t="shared" si="44"/>
        <v>2.0941400700990318</v>
      </c>
      <c r="L249" s="88">
        <f t="shared" si="44"/>
        <v>2.2861913067879231</v>
      </c>
      <c r="N249" s="21" t="s">
        <v>217</v>
      </c>
      <c r="Q249" s="34">
        <f>+MIN(M157:R157)-F171*F168</f>
        <v>0</v>
      </c>
      <c r="R249" s="85" t="str">
        <f>IF(Q249&gt;=-0.01,"OK","CHECK")</f>
        <v>OK</v>
      </c>
    </row>
    <row r="250" spans="2:22" x14ac:dyDescent="0.2">
      <c r="D250" s="86">
        <v>0.15</v>
      </c>
      <c r="E250" s="87">
        <f t="shared" si="43"/>
        <v>0.13363061031997003</v>
      </c>
      <c r="F250" s="87">
        <f t="shared" si="43"/>
        <v>0.14484777089315126</v>
      </c>
      <c r="G250" s="87">
        <f t="shared" si="43"/>
        <v>0.15934744044332327</v>
      </c>
      <c r="J250" s="88">
        <f t="shared" si="44"/>
        <v>1.872867521239526</v>
      </c>
      <c r="K250" s="88">
        <f t="shared" si="44"/>
        <v>1.9674317111031394</v>
      </c>
      <c r="L250" s="88">
        <f t="shared" si="44"/>
        <v>2.09528915620634</v>
      </c>
      <c r="N250" s="21" t="s">
        <v>218</v>
      </c>
      <c r="Q250" s="34">
        <f>+MIN(M82:R82,M92:R92,M101:R101,M110:R110,M117:R117)</f>
        <v>0</v>
      </c>
      <c r="R250" s="85" t="str">
        <f>IF(Q250&gt;=-0.01,"OK","CHECK")</f>
        <v>OK</v>
      </c>
    </row>
    <row r="251" spans="2:22" x14ac:dyDescent="0.2">
      <c r="N251" s="21" t="s">
        <v>219</v>
      </c>
      <c r="Q251" s="89">
        <f>+T83</f>
        <v>0</v>
      </c>
      <c r="R251" s="85" t="str">
        <f>IF(ABS(Q251)&lt;0.0001,"OK","CHECK")</f>
        <v>OK</v>
      </c>
    </row>
    <row r="252" spans="2:22" x14ac:dyDescent="0.2">
      <c r="N252" s="21" t="s">
        <v>220</v>
      </c>
      <c r="Q252" s="34">
        <f>+MAX(ABS(N31-N56),ABS(R31-R56))</f>
        <v>0</v>
      </c>
      <c r="R252" s="85" t="str">
        <f>IF(Q252&lt;0.01,"OK","CHECK")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100-000000000000}">
      <formula1>"1,2,3"</formula1>
    </dataValidation>
    <dataValidation type="list" sqref="K166" xr:uid="{00000000-0002-0000-0100-000001000000}">
      <formula1>"2026,2027,2028,2029,2030"</formula1>
    </dataValidation>
    <dataValidation type="list" sqref="I180 I181" xr:uid="{00000000-0002-0000-0100-000002000000}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Instructions</vt:lpstr>
      <vt:lpstr>LBO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2026-10-25T16:15:55Z</dcterms:modified>
</cp:coreProperties>
</file>