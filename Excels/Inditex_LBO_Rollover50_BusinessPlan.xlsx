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500" firstSheet="0" activeTab="2" autoFilterDateGrouping="1"/>
  </bookViews>
  <sheets>
    <sheet name="Instructions" sheetId="1" state="visible" r:id="rId1"/>
    <sheet name="LBO" sheetId="2" state="visible" r:id="rId2"/>
    <sheet name="Palancas" sheetId="3" state="visible" r:id="rId3"/>
    <sheet name="LBO_Rollover50" sheetId="4" state="visible" r:id="rId4"/>
    <sheet name="Business_Plan" sheetId="5" state="visible" r:id="rId5"/>
    <sheet name="Palancas_calc" sheetId="6" state="visible" r:id="rId6"/>
    <sheet name="Cambios" sheetId="7" state="visible" r:id="rId7"/>
  </sheets>
  <definedNames>
    <definedName name="_Order1" hidden="1">0</definedName>
    <definedName name="_Table1_In1" hidden="1">#REF!</definedName>
    <definedName name="_Table1_Out" hidden="1">#REF!</definedName>
    <definedName name="_Table2_In2" hidden="1">#REF!</definedName>
    <definedName name="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1e" hidden="1">#REF!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bc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nscount" hidden="1">1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S2DocOpenMode" hidden="1">"AS2DocumentEdit"</definedName>
    <definedName name="asdf" hidden="1">#REF!</definedName>
    <definedName name="b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cc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CIQWBGuid" hidden="1">"d41c40b3-ff5a-4b66-b647-8a035af2b7fc"</definedName>
    <definedName name="ee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gls_ACT_EST_ROW" hidden="1">#REF!</definedName>
    <definedName name="gls_ACT_FORM_OFFSET" hidden="1">#REF!</definedName>
    <definedName name="gls_AnalystEmpNoHeading" hidden="1">#REF!</definedName>
    <definedName name="gls_AnalystNameHeading" hidden="1">#REF!</definedName>
    <definedName name="gls_EST_FORM_OFFSET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LastPriceTargetRevised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Profile" hidden="1">#REF!</definedName>
    <definedName name="gls_GenRecComment" hidden="1">#REF!</definedName>
    <definedName name="gls_GenSheetVersion" hidden="1">#REF!</definedName>
    <definedName name="gls_genStockCore" hidden="1">#REF!</definedName>
    <definedName name="gls_genStockRec" hidden="1">#REF!</definedName>
    <definedName name="gls_GenTargetCurrency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PARE_YEARS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TEMP_PERIOD_CODE" hidden="1">#REF!</definedName>
    <definedName name="gls_YEAR_AE_CONTROL" hidden="1">#REF!</definedName>
    <definedName name="gls_YEAR_END_ROW" hidden="1">#REF!</definedName>
    <definedName name="IQ_ADDIN" hidden="1">"AUTO"</definedName>
    <definedName name="IQ_AE_BR" hidden="1">"c10"</definedName>
    <definedName name="IQ_AP_BR" hidden="1">"c34"</definedName>
    <definedName name="IQ_AR_BR" hidden="1">"c41"</definedName>
    <definedName name="IQ_ASSET_WRITEDOWN_BR" hidden="1">"c50"</definedName>
    <definedName name="IQ_ASSET_WRITEDOWN_CF_BR" hidden="1">"c53"</definedName>
    <definedName name="IQ_AVG_BROKER_REC_NO_REUT" hidden="1">"c5315"</definedName>
    <definedName name="IQ_AVG_BROKER_REC_REUT" hidden="1">"c3630"</definedName>
    <definedName name="IQ_CAPEX_BR" hidden="1">"c111"</definedName>
    <definedName name="IQ_CH" hidden="1">110000</definedName>
    <definedName name="IQ_CHANGE_AP_BR" hidden="1">"c135"</definedName>
    <definedName name="IQ_CHANGE_AR_BR" hidden="1">"c142"</definedName>
    <definedName name="IQ_CHANGE_OTHER_NET_OPER_ASSETS_BR" hidden="1">"c3595"</definedName>
    <definedName name="IQ_CHANGE_OTHER_WORK_CAP_BR" hidden="1">"c154"</definedName>
    <definedName name="IQ_COMMERCIAL_DOM" hidden="1">"c177"</definedName>
    <definedName name="IQ_COMMERCIAL_MORT" hidden="1">"c179"</definedName>
    <definedName name="IQ_COMMON_APIC_BR" hidden="1">"c185"</definedName>
    <definedName name="IQ_COMMON_ISSUED_BR" hidden="1">"c199"</definedName>
    <definedName name="IQ_COMMON_REP_BR" hidden="1">"c208"</definedName>
    <definedName name="IQ_CQ" hidden="1">5000</definedName>
    <definedName name="IQ_CURRENCY_GAIN_BR" hidden="1">"c236"</definedName>
    <definedName name="IQ_CURRENT_PORT_DEBT_BR" hidden="1">"c1567"</definedName>
    <definedName name="IQ_CY" hidden="1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 hidden="1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NTM" hidden="1">700000</definedName>
    <definedName name="IQ_EARNINGS_ANNOUNCE_DATE_REUT" hidden="1">"c5314"</definedName>
    <definedName name="IQ_EBITDA_EST_REUT" hidden="1">"c3640"</definedName>
    <definedName name="IQ_EBITDA_HIGH_EST_REUT" hidden="1">"c3642"</definedName>
    <definedName name="IQ_EBITDA_LOW_EST_REUT" hidden="1">"c3643"</definedName>
    <definedName name="IQ_EBITDA_MEDIAN_EST_REUT" hidden="1">"c3641"</definedName>
    <definedName name="IQ_EBITDA_NUM_EST_REUT" hidden="1">"c3644"</definedName>
    <definedName name="IQ_EBITDA_STDDEV_EST_REUT" hidden="1">"c3645"</definedName>
    <definedName name="IQ_EBT_BR" hidden="1">"c378"</definedName>
    <definedName name="IQ_EBT_EXCL_BR" hidden="1">"c381"</definedName>
    <definedName name="IQ_EPS_EST_REUT" hidden="1">"c5453"</definedName>
    <definedName name="IQ_EPS_GW_EST_REUT" hidden="1">"c5389"</definedName>
    <definedName name="IQ_EPS_GW_HIGH_EST_REUT" hidden="1">"c5391"</definedName>
    <definedName name="IQ_EPS_GW_LOW_EST_REUT" hidden="1">"c5392"</definedName>
    <definedName name="IQ_EPS_GW_MEDIAN_EST_REUT" hidden="1">"c5390"</definedName>
    <definedName name="IQ_EPS_GW_NUM_EST_REUT" hidden="1">"c5393"</definedName>
    <definedName name="IQ_EPS_GW_STDDEV_EST_REUT" hidden="1">"c5394"</definedName>
    <definedName name="IQ_EPS_HIGH_EST_REUT" hidden="1">"c5454"</definedName>
    <definedName name="IQ_EPS_LOW_EST_REUT" hidden="1">"c5455"</definedName>
    <definedName name="IQ_EPS_MEDIAN_EST_REUT" hidden="1">"c5456"</definedName>
    <definedName name="IQ_EPS_NORM_EST_REUT" hidden="1">"c5326"</definedName>
    <definedName name="IQ_EPS_NORM_HIGH_EST_REUT" hidden="1">"c5328"</definedName>
    <definedName name="IQ_EPS_NORM_LOW_EST_REUT" hidden="1">"c5329"</definedName>
    <definedName name="IQ_EPS_NORM_MEDIAN_EST_REUT" hidden="1">"c5327"</definedName>
    <definedName name="IQ_EPS_NORM_NUM_EST_REUT" hidden="1">"c5330"</definedName>
    <definedName name="IQ_EPS_NORM_STDDEV_EST_REUT" hidden="1">"c5331"</definedName>
    <definedName name="IQ_EPS_NUM_EST_REUT" hidden="1">"c5451"</definedName>
    <definedName name="IQ_EPS_REPORTED_EST_REUT" hidden="1">"c5396"</definedName>
    <definedName name="IQ_EPS_REPORTED_HIGH_EST_REUT" hidden="1">"c5398"</definedName>
    <definedName name="IQ_EPS_REPORTED_LOW_EST_REUT" hidden="1">"c5399"</definedName>
    <definedName name="IQ_EPS_REPORTED_MEDIAN_EST_REUT" hidden="1">"c5397"</definedName>
    <definedName name="IQ_EPS_REPORTED_NUM_EST_REUT" hidden="1">"c5400"</definedName>
    <definedName name="IQ_EPS_REPORTED_STDDEV_EST_REUT" hidden="1">"c5401"</definedName>
    <definedName name="IQ_EPS_STDDEV_EST_REUT" hidden="1">"c5452"</definedName>
    <definedName name="IQ_EST_ACT_EPS_GW_REUT" hidden="1">"c5395"</definedName>
    <definedName name="IQ_EST_ACT_EPS_NORM_REUT" hidden="1">"c5332"</definedName>
    <definedName name="IQ_EST_ACT_EPS_REPORTED_REUT" hidden="1">"c5402"</definedName>
    <definedName name="IQ_EST_ACT_FFO_REUT" hidden="1">"c3843"</definedName>
    <definedName name="IQ_EST_CURRENCY_REUT" hidden="1">"c5437"</definedName>
    <definedName name="IQ_EST_DATE_REUT" hidden="1">"c5438"</definedName>
    <definedName name="IQ_EST_EPS_GROWTH_1YR_REUT" hidden="1">"c3646"</definedName>
    <definedName name="IQ_EST_EPS_GROWTH_5YR_REUT" hidden="1">"c3633"</definedName>
    <definedName name="IQ_EST_EPS_GROWTH_Q_1YR_REUT" hidden="1">"c5410"</definedName>
    <definedName name="IQ_EST_EPS_GW_DIFF_REUT" hidden="1">"c5429"</definedName>
    <definedName name="IQ_EST_EPS_GW_SURPRISE_PERCENT_REUT" hidden="1">"c5430"</definedName>
    <definedName name="IQ_EST_EPS_NORM_DIFF_REUT" hidden="1">"c5411"</definedName>
    <definedName name="IQ_EST_EPS_NORM_SURPRISE_PERCENT_REUT" hidden="1">"c5412"</definedName>
    <definedName name="IQ_EST_EPS_REPORT_DIFF_REUT" hidden="1">"c5431"</definedName>
    <definedName name="IQ_EST_EPS_REPORT_SURPRISE_PERCENT_REUT" hidden="1">"c5432"</definedName>
    <definedName name="IQ_EST_FFO_DIFF_REUT" hidden="1">"c3890"</definedName>
    <definedName name="IQ_EST_FFO_SURPRISE_PERCENT_REUT" hidden="1">"c3891"</definedName>
    <definedName name="IQ_EST_NUM_BUY_REUT" hidden="1">"c3869"</definedName>
    <definedName name="IQ_EST_NUM_HOLD_REUT" hidden="1">"c3871"</definedName>
    <definedName name="IQ_EST_NUM_OUTPERFORM_REUT" hidden="1">"c3870"</definedName>
    <definedName name="IQ_EST_NUM_SELL_REUT" hidden="1">"c3873"</definedName>
    <definedName name="IQ_EST_NUM_UNDERPERFORM_REUT" hidden="1">"c3872"</definedName>
    <definedName name="IQ_EXTRA_ACC_ITEMS_BR" hidden="1">"c412"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TDDEV_EST_REUT" hidden="1">"c3842"</definedName>
    <definedName name="IQ_FH" hidden="1">100000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W_AMORT_BR" hidden="1">"c532"</definedName>
    <definedName name="IQ_GW_INTAN_AMORT_BR" hidden="1">"c1470"</definedName>
    <definedName name="IQ_GW_INTAN_AMORT_CF_BR" hidden="1">"c1473"</definedName>
    <definedName name="IQ_HIGH_TARGET_PRICE_REUT" hidden="1">"c5317"</definedName>
    <definedName name="IQ_INC_EQUITY_BR" hidden="1">"c550"</definedName>
    <definedName name="IQ_INS_SETTLE_BR" hidden="1">"c572"</definedName>
    <definedName name="IQ_INT_EXP_BR" hidden="1">"c586"</definedName>
    <definedName name="IQ_INT_INC_BR" hidden="1">"c593"</definedName>
    <definedName name="IQ_INVEST_LOANS_CF_BR" hidden="1">"c630"</definedName>
    <definedName name="IQ_INVEST_SECURITY_CF_BR" hidden="1">"c639"</definedName>
    <definedName name="IQ_LATESTK" hidden="1">1000</definedName>
    <definedName name="IQ_LATESTQ" hidden="1">500</definedName>
    <definedName name="IQ_LEGAL_SETTLE_BR" hidden="1">"c649"</definedName>
    <definedName name="IQ_LOANS_CF_BR" hidden="1">"c661"</definedName>
    <definedName name="IQ_LOW_TARGET_PRICE_REUT" hidden="1">"c5318"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 hidden="1">2000</definedName>
    <definedName name="IQ_LTMMONTH" hidden="1">120000</definedName>
    <definedName name="IQ_MEDIAN_TARGET_PRICE_REUT" hidden="1">"c5316"</definedName>
    <definedName name="IQ_MERGER_BR" hidden="1">"c715"</definedName>
    <definedName name="IQ_MERGER_RESTRUCTURE_BR" hidden="1">"c721"</definedName>
    <definedName name="IQ_MINORITY_INTEREST_BR" hidden="1">"c729"</definedName>
    <definedName name="IQ_MKTCAP_TOTAL_REV_FWD_REUT" hidden="1">"c4048"</definedName>
    <definedName name="IQ_MONTH" hidden="1">15000</definedName>
    <definedName name="IQ_MTD" hidden="1">800000</definedName>
    <definedName name="IQ_NAMES_REVISION_DATE_" hidden="1">41180.5528009259</definedName>
    <definedName name="IQ_NAV_ACT_OR_EST" hidden="1">"c2225"</definedName>
    <definedName name="IQ_NET_DEBT_ISSUED_BR" hidden="1">"c753"</definedName>
    <definedName name="IQ_NET_INT_INC_BR" hidden="1">"c765"</definedName>
    <definedName name="IQ_NTM" hidden="1">6000</definedName>
    <definedName name="IQ_OPENED55" hidden="1">1</definedName>
    <definedName name="IQ_OPER_INC_BR" hidden="1">"c850"</definedName>
    <definedName name="IQ_OTHER_AMORT_BR" hidden="1">"c5566"</definedName>
    <definedName name="IQ_OTHER_ASSETS_BR" hidden="1">"c862"</definedName>
    <definedName name="IQ_OTHER_CA_SUPPL_BR" hidden="1">"c871"</definedName>
    <definedName name="IQ_OTHER_CL_SUPPL_BR" hidden="1">"c880"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TAN_BR" hidden="1">"c909"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T_ASSETS_BR" hidden="1">"c948"</definedName>
    <definedName name="IQ_OTHER_NON_OPER_EXP_BR" hidden="1">"c957"</definedName>
    <definedName name="IQ_OTHER_NON_OPER_EXP_SUPPL_BR" hidden="1">"c962"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V_BR" hidden="1">"c1011"</definedName>
    <definedName name="IQ_OTHER_REV_SUPPL_BR" hidden="1">"c1016"</definedName>
    <definedName name="IQ_OTHER_UNUSUAL_BR" hidden="1">"c1561"</definedName>
    <definedName name="IQ_OTHER_UNUSUAL_SUPPL_BR" hidden="1">"c1496"</definedName>
    <definedName name="IQ_PC_WRITTEN" hidden="1">"c1027"</definedName>
    <definedName name="IQ_PE_EXCL_FWD_REUT" hidden="1">"c4049"</definedName>
    <definedName name="IQ_PEG_FWD_REUT" hidden="1">"c4052"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REF_ISSUED_BR" hidden="1">"c1047"</definedName>
    <definedName name="IQ_PREF_OTHER_BR" hidden="1">"c1055"</definedName>
    <definedName name="IQ_PREF_REP_BR" hidden="1">"c1062"</definedName>
    <definedName name="IQ_PRICE_TARGET_REUT" hidden="1">"c3631"</definedName>
    <definedName name="IQ_QTD" hidden="1">750000</definedName>
    <definedName name="IQ_RESIDENTIAL_LOANS" hidden="1">"c1102"</definedName>
    <definedName name="IQ_RESTRUCTURE_BR" hidden="1">"c1106"</definedName>
    <definedName name="IQ_RETURN_ASSETS_BROK" hidden="1">"c1115"</definedName>
    <definedName name="IQ_RETURN_EQUITY_BROK" hidden="1">"c1120"</definedName>
    <definedName name="IQ_REV_STDDEV_EST_REUT" hidden="1">"c3639"</definedName>
    <definedName name="IQ_REVENUE_EST_REUT" hidden="1">"c3634"</definedName>
    <definedName name="IQ_REVENUE_HIGH_EST_REUT" hidden="1">"c3636"</definedName>
    <definedName name="IQ_REVENUE_LOW_EST_REUT" hidden="1">"c3637"</definedName>
    <definedName name="IQ_REVENUE_MEDIAN_EST_REUT" hidden="1">"c3635"</definedName>
    <definedName name="IQ_REVENUE_NUM_EST_REUT" hidden="1">"c3638"</definedName>
    <definedName name="IQ_SALE_INTAN_CF_BR" hidden="1">"c1133"</definedName>
    <definedName name="IQ_SALE_PPE_CF_BR" hidden="1">"c1139"</definedName>
    <definedName name="IQ_SALE_REAL_ESTATE_CF_BR" hidden="1">"c1145"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TARGET_PRICE_NUM_REUT" hidden="1">"c5319"</definedName>
    <definedName name="IQ_TARGET_PRICE_STDDEV_REUT" hidden="1">"c5320"</definedName>
    <definedName name="IQ_TEV_EBITDA_FWD_REUT" hidden="1">"c4050"</definedName>
    <definedName name="IQ_TEV_TOTAL_REV_FWD_REUT" hidden="1">"c4051"</definedName>
    <definedName name="IQ_TODAY" hidden="1">0</definedName>
    <definedName name="IQ_TOTAL_AR_BR" hidden="1">"c1231"</definedName>
    <definedName name="IQ_TOTAL_DEBT_ISSUED_BR" hidden="1">"c1253"</definedName>
    <definedName name="IQ_TOTAL_DEBT_REPAID_BR" hidden="1">"c1260"</definedName>
    <definedName name="IQ_TOTAL_LIAB_BR" hidden="1">"c1278"</definedName>
    <definedName name="IQ_TOTAL_OPER_EXP_BR" hidden="1">"c1284"</definedName>
    <definedName name="IQ_TOTAL_REV_BR" hidden="1">"c1303"</definedName>
    <definedName name="IQ_TOTAL_UNUSUAL_BR" hidden="1">"c5517"</definedName>
    <definedName name="IQ_TREASURY_OTHER_EQUITY_BR" hidden="1">"c1314"</definedName>
    <definedName name="IQ_UNEARN_REV_CURRENT_BR" hidden="1">"c1324"</definedName>
    <definedName name="IQ_WEEK" hidden="1">50000</definedName>
    <definedName name="IQ_YTD" hidden="1">3000</definedName>
    <definedName name="IQ_YTDMONTH" hidden="1">130000</definedName>
    <definedName name="k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l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p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UB_FileID" hidden="1">"L10003649.xls"</definedName>
    <definedName name="PUB_UserID" hidden="1">"MAYERX"</definedName>
    <definedName name="qq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edo" hidden="1">{#N/A,#N/A,FALSE,"ACQ_GRAPHS";#N/A,#N/A,FALSE,"T_1 GRAPHS";#N/A,#N/A,FALSE,"T_2 GRAPHS";#N/A,#N/A,FALSE,"COMB_GRAPHS"}</definedName>
    <definedName name="r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encount" hidden="1">1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extRefCopyRangeCount" hidden="1">4</definedName>
    <definedName name="t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vv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COMBINED." hidden="1">{#N/A,#N/A,FALSE,"INPUTS";#N/A,#N/A,FALSE,"PROFORMA BSHEET";#N/A,#N/A,FALSE,"COMBINED";#N/A,#N/A,FALSE,"HIGH YIELD";#N/A,#N/A,FALSE,"COMB_GRAPHS"}</definedName>
    <definedName name="wrn.DCF._.II._.Report." hidden="1">{#N/A,#N/A,FALSE,"Cover";#N/A,#N/A,FALSE,"Pres";#N/A,#N/A,FALSE,"Output";#N/A,#N/A,FALSE,"DCF";#N/A,#N/A,FALSE,"Control (In)";#N/A,#N/A,FALSE,"Broker (In)";#N/A,#N/A,FALSE,"In-House (In)";#N/A,#N/A,FALSE,"Ass";#N/A,#N/A,FALSE,"WACC";#N/A,#N/A,FALSE,"Check (In)"}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GRAPHS." hidden="1">{#N/A,#N/A,FALSE,"ACQ_GRAPHS";#N/A,#N/A,FALSE,"T_1 GRAPHS";#N/A,#N/A,FALSE,"T_2 GRAPHS";#N/A,#N/A,FALSE,"COMB_GRAPHS"}</definedName>
    <definedName name="wrn.Print." hidden="1">{"vi1",#N/A,FALSE,"Financial Statements";"vi2",#N/A,FALSE,"Financial Statements";#N/A,#N/A,FALSE,"DCF"}</definedName>
    <definedName name="wrn.PTCP." hidden="1">{#N/A,#N/A,TRUE,"1";#N/A,#N/A,TRUE,"2";#N/A,#N/A,TRUE,"3";#N/A,#N/A,TRUE,"4";#N/A,#N/A,TRUE,"5";#N/A,#N/A,TRUE,"6";#N/A,#N/A,TRUE,"7";#N/A,#N/A,TRUE,"8";#N/A,#N/A,TRUE,"9"}</definedName>
    <definedName name="wrn.PTMP96." hidden="1">{#N/A,#N/A,FALSE,"1";#N/A,#N/A,FALSE,"2";#N/A,#N/A,FALSE,"3";#N/A,#N/A,FALSE,"4";#N/A,#N/A,FALSE,"5";#N/A,#N/A,FALSE,"6";#N/A,#N/A,FALSE,"7";#N/A,#N/A,FALSE,"8"}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w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y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3">
    <numFmt numFmtId="164" formatCode="0\A"/>
    <numFmt numFmtId="165" formatCode="0\E"/>
    <numFmt numFmtId="166" formatCode="#,##0.0%_);\(#,##0.0%\);&quot;- &quot;"/>
    <numFmt numFmtId="167" formatCode="#,##0.0_);\(#,##0.0\);&quot;- &quot;"/>
    <numFmt numFmtId="168" formatCode="0.0"/>
    <numFmt numFmtId="169" formatCode="#,##0.0\x_);\(#,##0.0&quot;x)&quot;;&quot;- &quot;"/>
    <numFmt numFmtId="170" formatCode="#,##0.00_);\(#,##0.00\);&quot;- &quot;"/>
    <numFmt numFmtId="171" formatCode="d\-mmm\-yy"/>
    <numFmt numFmtId="172" formatCode="0.00\x"/>
    <numFmt numFmtId="173" formatCode="0.0%;(0.0%);&quot;-&quot;"/>
    <numFmt numFmtId="174" formatCode="0.00&quot;x&quot;"/>
    <numFmt numFmtId="175" formatCode="#,##0;(#,##0);&quot;-&quot;"/>
    <numFmt numFmtId="176" formatCode="0.0%"/>
  </numFmts>
  <fonts count="28">
    <font>
      <name val="Arial"/>
      <charset val="1"/>
      <family val="2"/>
      <color theme="1"/>
      <sz val="8"/>
    </font>
    <font>
      <name val="Arial"/>
      <family val="2"/>
      <sz val="10"/>
    </font>
    <font>
      <name val="Aptos Narrow"/>
      <charset val="1"/>
      <family val="2"/>
      <color theme="1"/>
      <sz val="11"/>
    </font>
    <font>
      <name val="Arial"/>
      <family val="2"/>
      <b val="1"/>
      <color theme="1"/>
      <sz val="12"/>
    </font>
    <font>
      <name val="Arial"/>
      <family val="2"/>
      <b val="1"/>
      <i val="1"/>
      <color theme="1"/>
      <sz val="8"/>
    </font>
    <font>
      <name val="Arial"/>
      <family val="2"/>
      <b val="1"/>
      <color theme="1"/>
      <sz val="10"/>
    </font>
    <font>
      <name val="Arial"/>
      <family val="2"/>
      <b val="1"/>
      <color rgb="FF000000"/>
      <sz val="8"/>
    </font>
    <font>
      <name val="Arial"/>
      <charset val="1"/>
      <family val="2"/>
      <color theme="0"/>
      <sz val="8"/>
    </font>
    <font>
      <name val="Arial"/>
      <family val="2"/>
      <color rgb="FF000000"/>
      <sz val="8"/>
    </font>
    <font>
      <name val="Arial"/>
      <family val="2"/>
      <b val="1"/>
      <color rgb="FF4A5568"/>
      <sz val="8"/>
    </font>
    <font>
      <name val="Arial"/>
      <family val="2"/>
      <i val="1"/>
      <color rgb="FF333333"/>
      <sz val="8"/>
    </font>
    <font>
      <name val="Arial"/>
      <family val="2"/>
      <b val="1"/>
      <color rgb="FF0000FF"/>
      <sz val="8"/>
    </font>
    <font>
      <name val="Arial"/>
      <family val="2"/>
      <color rgb="FF0000FF"/>
      <sz val="8"/>
    </font>
    <font>
      <name val="Arial"/>
      <family val="2"/>
      <color rgb="FF008000"/>
      <sz val="8"/>
    </font>
    <font>
      <name val="Arial"/>
      <family val="2"/>
      <b val="1"/>
      <color rgb="FF008000"/>
      <sz val="8"/>
    </font>
    <font>
      <name val="Arial"/>
      <family val="2"/>
      <b val="1"/>
      <sz val="8"/>
    </font>
    <font>
      <name val="Arial"/>
      <family val="2"/>
      <sz val="8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b val="1"/>
      <sz val="14"/>
    </font>
    <font>
      <b val="1"/>
    </font>
    <font>
      <color rgb="FF0000FF"/>
    </font>
    <font>
      <b val="1"/>
      <sz val="16"/>
    </font>
    <font>
      <i val="1"/>
      <color rgb="FF52514E"/>
    </font>
    <font>
      <b val="1"/>
      <color rgb="FF0000FF"/>
    </font>
    <font>
      <b val="1"/>
      <sz val="12"/>
    </font>
    <font>
      <color rgb="FF52514E"/>
    </font>
    <font>
      <i val="1"/>
      <color rgb="FF52514E"/>
      <sz val="9"/>
    </font>
  </fonts>
  <fills count="16">
    <fill>
      <patternFill/>
    </fill>
    <fill>
      <patternFill patternType="gray125"/>
    </fill>
    <fill>
      <patternFill patternType="solid">
        <fgColor theme="0" tint="-0.0499893185216834"/>
        <bgColor rgb="FFF4F7FE"/>
      </patternFill>
    </fill>
    <fill>
      <patternFill patternType="solid">
        <fgColor rgb="FFD6DDE7"/>
        <bgColor rgb="FFD9D9D9"/>
      </patternFill>
    </fill>
    <fill>
      <patternFill patternType="solid">
        <fgColor theme="3" tint="0.09988708151493882"/>
        <bgColor rgb="FF1F4E78"/>
      </patternFill>
    </fill>
    <fill>
      <patternFill patternType="solid">
        <fgColor rgb="FFF4F7FE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99AAC3"/>
        <bgColor rgb="FF9999FF"/>
      </patternFill>
    </fill>
    <fill>
      <patternFill patternType="solid">
        <fgColor rgb="FFE6F4EA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4F7FE"/>
      </patternFill>
    </fill>
    <fill>
      <patternFill patternType="solid">
        <fgColor rgb="FFFFF2CC"/>
      </patternFill>
    </fill>
    <fill>
      <patternFill patternType="solid">
        <fgColor rgb="FFB7D3F6"/>
      </patternFill>
    </fill>
    <fill>
      <patternFill patternType="solid">
        <fgColor rgb="FFBFE6D6"/>
      </patternFill>
    </fill>
    <fill>
      <patternFill patternType="solid">
        <fgColor rgb="FFFBE3A6"/>
      </patternFill>
    </fill>
    <fill>
      <patternFill patternType="solid">
        <fgColor rgb="FFF4C1C0"/>
      </patternFill>
    </fill>
  </fills>
  <borders count="6">
    <border>
      <left/>
      <right/>
      <top/>
      <bottom/>
      <diagonal/>
    </border>
    <border>
      <left/>
      <right/>
      <top style="thin">
        <color rgb="FF1F4E78"/>
      </top>
      <bottom style="medium">
        <color rgb="FF1F4E78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0" fontId="2" fillId="0" borderId="0"/>
  </cellStyleXfs>
  <cellXfs count="132">
    <xf numFmtId="0" fontId="0" fillId="0" borderId="0" pivotButton="0" quotePrefix="0" xfId="0"/>
    <xf numFmtId="0" fontId="16" fillId="0" borderId="0" applyAlignment="1" pivotButton="0" quotePrefix="0" xfId="0">
      <alignment vertical="top" wrapText="1"/>
    </xf>
    <xf numFmtId="0" fontId="6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7" fillId="4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 wrapText="1"/>
    </xf>
    <xf numFmtId="0" fontId="9" fillId="0" borderId="0" pivotButton="0" quotePrefix="0" xfId="0"/>
    <xf numFmtId="0" fontId="6" fillId="3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horizontal="center" vertical="center"/>
    </xf>
    <xf numFmtId="164" fontId="6" fillId="2" borderId="0" applyAlignment="1" pivotButton="0" quotePrefix="0" xfId="0">
      <alignment horizontal="center" vertical="center"/>
    </xf>
    <xf numFmtId="165" fontId="6" fillId="2" borderId="0" applyAlignment="1" pivotButton="0" quotePrefix="0" xfId="0">
      <alignment horizontal="center" vertical="center"/>
    </xf>
    <xf numFmtId="0" fontId="6" fillId="5" borderId="3" pivotButton="0" quotePrefix="0" xfId="0"/>
    <xf numFmtId="0" fontId="10" fillId="5" borderId="3" applyAlignment="1" pivotButton="0" quotePrefix="0" xfId="0">
      <alignment horizontal="right" vertical="center"/>
    </xf>
    <xf numFmtId="3" fontId="11" fillId="6" borderId="4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/>
    </xf>
    <xf numFmtId="0" fontId="8" fillId="0" borderId="0" pivotButton="0" quotePrefix="0" xfId="0"/>
    <xf numFmtId="166" fontId="12" fillId="0" borderId="0" applyAlignment="1" pivotButton="0" quotePrefix="0" xfId="0">
      <alignment horizontal="right" vertical="center"/>
    </xf>
    <xf numFmtId="166" fontId="6" fillId="5" borderId="0" applyAlignment="1" pivotButton="0" quotePrefix="0" xfId="0">
      <alignment horizontal="right" vertical="center"/>
    </xf>
    <xf numFmtId="166" fontId="13" fillId="0" borderId="0" applyAlignment="1" pivotButton="0" quotePrefix="0" xfId="0">
      <alignment horizontal="right" vertical="center"/>
    </xf>
    <xf numFmtId="166" fontId="10" fillId="0" borderId="0" applyAlignment="1" pivotButton="0" quotePrefix="0" xfId="0">
      <alignment horizontal="right" vertical="center"/>
    </xf>
    <xf numFmtId="167" fontId="11" fillId="5" borderId="3" pivotButton="0" quotePrefix="0" xfId="0"/>
    <xf numFmtId="167" fontId="6" fillId="5" borderId="3" pivotButton="0" quotePrefix="0" xfId="0"/>
    <xf numFmtId="166" fontId="6" fillId="5" borderId="3" pivotButton="0" quotePrefix="0" xfId="0"/>
    <xf numFmtId="167" fontId="13" fillId="0" borderId="0" pivotButton="0" quotePrefix="0" xfId="0"/>
    <xf numFmtId="166" fontId="8" fillId="0" borderId="0" pivotButton="0" quotePrefix="0" xfId="0"/>
    <xf numFmtId="0" fontId="10" fillId="0" borderId="0" pivotButton="0" quotePrefix="0" xfId="0"/>
    <xf numFmtId="166" fontId="10" fillId="0" borderId="0" pivotButton="0" quotePrefix="0" xfId="0"/>
    <xf numFmtId="167" fontId="12" fillId="0" borderId="0" pivotButton="0" quotePrefix="0" xfId="0"/>
    <xf numFmtId="167" fontId="8" fillId="0" borderId="0" pivotButton="0" quotePrefix="0" xfId="0"/>
    <xf numFmtId="0" fontId="6" fillId="5" borderId="5" pivotButton="0" quotePrefix="0" xfId="0"/>
    <xf numFmtId="167" fontId="6" fillId="5" borderId="5" pivotButton="0" quotePrefix="0" xfId="0"/>
    <xf numFmtId="166" fontId="6" fillId="5" borderId="5" pivotButton="0" quotePrefix="0" xfId="0"/>
    <xf numFmtId="10" fontId="13" fillId="0" borderId="0" pivotButton="0" quotePrefix="0" xfId="0"/>
    <xf numFmtId="167" fontId="10" fillId="0" borderId="0" pivotButton="0" quotePrefix="0" xfId="0"/>
    <xf numFmtId="0" fontId="6" fillId="0" borderId="0" pivotButton="0" quotePrefix="0" xfId="0"/>
    <xf numFmtId="167" fontId="6" fillId="0" borderId="0" pivotButton="0" quotePrefix="0" xfId="0"/>
    <xf numFmtId="166" fontId="12" fillId="0" borderId="0" pivotButton="0" quotePrefix="0" xfId="0"/>
    <xf numFmtId="167" fontId="12" fillId="5" borderId="5" pivotButton="0" quotePrefix="0" xfId="0"/>
    <xf numFmtId="167" fontId="11" fillId="5" borderId="5" pivotButton="0" quotePrefix="0" xfId="0"/>
    <xf numFmtId="0" fontId="6" fillId="5" borderId="0" pivotButton="0" quotePrefix="0" xfId="0"/>
    <xf numFmtId="167" fontId="11" fillId="5" borderId="0" pivotButton="0" quotePrefix="0" xfId="0"/>
    <xf numFmtId="167" fontId="6" fillId="5" borderId="0" pivotButton="0" quotePrefix="0" xfId="0"/>
    <xf numFmtId="168" fontId="12" fillId="0" borderId="0" pivotButton="0" quotePrefix="0" xfId="0"/>
    <xf numFmtId="0" fontId="6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center" vertical="center"/>
    </xf>
    <xf numFmtId="167" fontId="0" fillId="0" borderId="0" pivotButton="0" quotePrefix="0" xfId="0"/>
    <xf numFmtId="166" fontId="12" fillId="6" borderId="0" pivotButton="0" quotePrefix="0" xfId="0"/>
    <xf numFmtId="166" fontId="8" fillId="6" borderId="0" pivotButton="0" quotePrefix="0" xfId="0"/>
    <xf numFmtId="166" fontId="13" fillId="6" borderId="0" pivotButton="0" quotePrefix="0" xfId="0"/>
    <xf numFmtId="169" fontId="10" fillId="0" borderId="0" pivotButton="0" quotePrefix="0" xfId="0"/>
    <xf numFmtId="167" fontId="6" fillId="0" borderId="0" applyAlignment="1" pivotButton="0" quotePrefix="0" xfId="0">
      <alignment horizontal="right" vertical="center"/>
    </xf>
    <xf numFmtId="170" fontId="12" fillId="0" borderId="0" applyAlignment="1" pivotButton="0" quotePrefix="0" xfId="0">
      <alignment horizontal="right" vertical="center"/>
    </xf>
    <xf numFmtId="169" fontId="6" fillId="0" borderId="0" applyAlignment="1" pivotButton="0" quotePrefix="0" xfId="0">
      <alignment horizontal="right" vertical="center"/>
    </xf>
    <xf numFmtId="166" fontId="11" fillId="6" borderId="4" applyAlignment="1" pivotButton="0" quotePrefix="0" xfId="0">
      <alignment horizontal="right" vertical="center"/>
    </xf>
    <xf numFmtId="169" fontId="10" fillId="0" borderId="0" applyAlignment="1" pivotButton="0" quotePrefix="0" xfId="0">
      <alignment horizontal="right" vertical="center"/>
    </xf>
    <xf numFmtId="170" fontId="6" fillId="0" borderId="0" applyAlignment="1" pivotButton="0" quotePrefix="0" xfId="0">
      <alignment horizontal="right" vertical="center"/>
    </xf>
    <xf numFmtId="1" fontId="11" fillId="6" borderId="4" applyAlignment="1" pivotButton="0" quotePrefix="0" xfId="0">
      <alignment horizontal="right" vertical="center"/>
    </xf>
    <xf numFmtId="167" fontId="12" fillId="0" borderId="0" applyAlignment="1" pivotButton="0" quotePrefix="0" xfId="0">
      <alignment horizontal="right" vertical="center"/>
    </xf>
    <xf numFmtId="169" fontId="11" fillId="0" borderId="0" applyAlignment="1" pivotButton="0" quotePrefix="0" xfId="0">
      <alignment horizontal="right" vertical="center"/>
    </xf>
    <xf numFmtId="10" fontId="11" fillId="6" borderId="4" applyAlignment="1" pivotButton="0" quotePrefix="0" xfId="0">
      <alignment horizontal="right" vertical="center"/>
    </xf>
    <xf numFmtId="0" fontId="6" fillId="2" borderId="0" applyAlignment="1" pivotButton="0" quotePrefix="0" xfId="0">
      <alignment horizontal="right" vertical="center"/>
    </xf>
    <xf numFmtId="169" fontId="6" fillId="0" borderId="0" pivotButton="0" quotePrefix="0" xfId="0"/>
    <xf numFmtId="10" fontId="6" fillId="0" borderId="0" pivotButton="0" quotePrefix="0" xfId="0"/>
    <xf numFmtId="10" fontId="12" fillId="0" borderId="0" pivotButton="0" quotePrefix="0" xfId="0"/>
    <xf numFmtId="169" fontId="12" fillId="0" borderId="0" pivotButton="0" quotePrefix="0" xfId="0"/>
    <xf numFmtId="1" fontId="11" fillId="6" borderId="4" applyAlignment="1" pivotButton="0" quotePrefix="0" xfId="0">
      <alignment horizontal="center" vertical="center"/>
    </xf>
    <xf numFmtId="166" fontId="11" fillId="6" borderId="4" pivotButton="0" quotePrefix="0" xfId="0"/>
    <xf numFmtId="0" fontId="6" fillId="3" borderId="0" applyAlignment="1" pivotButton="0" quotePrefix="0" xfId="0">
      <alignment horizontal="right" vertical="center"/>
    </xf>
    <xf numFmtId="0" fontId="12" fillId="0" borderId="0" pivotButton="0" quotePrefix="0" xfId="0"/>
    <xf numFmtId="166" fontId="6" fillId="0" borderId="0" pivotButton="0" quotePrefix="0" xfId="0"/>
    <xf numFmtId="10" fontId="6" fillId="5" borderId="5" pivotButton="0" quotePrefix="0" xfId="0"/>
    <xf numFmtId="169" fontId="8" fillId="0" borderId="0" pivotButton="0" quotePrefix="0" xfId="0"/>
    <xf numFmtId="0" fontId="6" fillId="7" borderId="0" pivotButton="0" quotePrefix="0" xfId="0"/>
    <xf numFmtId="166" fontId="6" fillId="7" borderId="0" pivotButton="0" quotePrefix="0" xfId="0"/>
    <xf numFmtId="169" fontId="6" fillId="7" borderId="0" pivotButton="0" quotePrefix="0" xfId="0"/>
    <xf numFmtId="171" fontId="10" fillId="0" borderId="0" applyAlignment="1" pivotButton="0" quotePrefix="0" xfId="0">
      <alignment horizontal="center" vertical="center"/>
    </xf>
    <xf numFmtId="165" fontId="6" fillId="0" borderId="0" pivotButton="0" quotePrefix="0" xfId="0"/>
    <xf numFmtId="169" fontId="6" fillId="5" borderId="5" pivotButton="0" quotePrefix="0" xfId="0"/>
    <xf numFmtId="0" fontId="6" fillId="3" borderId="0" applyAlignment="1" pivotButton="0" quotePrefix="0" xfId="0">
      <alignment horizontal="center" vertical="center"/>
    </xf>
    <xf numFmtId="169" fontId="11" fillId="3" borderId="0" applyAlignment="1" pivotButton="0" quotePrefix="0" xfId="0">
      <alignment horizontal="right" vertical="center"/>
    </xf>
    <xf numFmtId="0" fontId="14" fillId="8" borderId="4" applyAlignment="1" pivotButton="0" quotePrefix="0" xfId="0">
      <alignment horizontal="center" vertical="center"/>
    </xf>
    <xf numFmtId="166" fontId="11" fillId="2" borderId="0" applyAlignment="1" pivotButton="0" quotePrefix="0" xfId="0">
      <alignment horizontal="right" vertical="center"/>
    </xf>
    <xf numFmtId="166" fontId="8" fillId="0" borderId="4" pivotButton="0" quotePrefix="0" xfId="0"/>
    <xf numFmtId="169" fontId="8" fillId="0" borderId="4" pivotButton="0" quotePrefix="0" xfId="0"/>
    <xf numFmtId="10" fontId="8" fillId="0" borderId="0" pivotButton="0" quotePrefix="0" xfId="0"/>
    <xf numFmtId="166" fontId="6" fillId="5" borderId="4" pivotButton="0" quotePrefix="0" xfId="0"/>
    <xf numFmtId="169" fontId="6" fillId="5" borderId="4" pivotButton="0" quotePrefix="0" xfId="0"/>
    <xf numFmtId="10" fontId="12" fillId="0" borderId="0" applyAlignment="1" pivotButton="0" quotePrefix="0" xfId="0">
      <alignment horizontal="right" vertical="center"/>
    </xf>
    <xf numFmtId="172" fontId="8" fillId="0" borderId="0" pivotButton="0" quotePrefix="0" xfId="0"/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15" fillId="3" borderId="0" applyAlignment="1" pivotButton="0" quotePrefix="0" xfId="0">
      <alignment vertical="top" wrapText="1"/>
    </xf>
    <xf numFmtId="0" fontId="0" fillId="9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11" borderId="0" pivotButton="0" quotePrefix="0" xfId="0"/>
    <xf numFmtId="0" fontId="20" fillId="10" borderId="0" pivotButton="0" quotePrefix="0" xfId="0"/>
    <xf numFmtId="176" fontId="0" fillId="0" borderId="0" pivotButton="0" quotePrefix="0" xfId="0"/>
    <xf numFmtId="176" fontId="20" fillId="0" borderId="0" pivotButton="0" quotePrefix="0" xfId="0"/>
    <xf numFmtId="174" fontId="0" fillId="0" borderId="0" pivotButton="0" quotePrefix="0" xfId="0"/>
    <xf numFmtId="174" fontId="20" fillId="0" borderId="0" pivotButton="0" quotePrefix="0" xfId="0"/>
    <xf numFmtId="3" fontId="0" fillId="0" borderId="0" pivotButton="0" quotePrefix="0" xfId="0"/>
    <xf numFmtId="3" fontId="20" fillId="0" borderId="0" pivotButton="0" quotePrefix="0" xfId="0"/>
    <xf numFmtId="0" fontId="27" fillId="0" borderId="0" pivotButton="0" quotePrefix="0" xfId="0"/>
    <xf numFmtId="0" fontId="25" fillId="0" borderId="0" pivotButton="0" quotePrefix="0" xfId="0"/>
    <xf numFmtId="1" fontId="24" fillId="11" borderId="0" pivotButton="0" quotePrefix="0" xfId="0"/>
    <xf numFmtId="0" fontId="20" fillId="12" borderId="0" applyAlignment="1" pivotButton="0" quotePrefix="0" xfId="0">
      <alignment horizontal="center"/>
    </xf>
    <xf numFmtId="0" fontId="20" fillId="13" borderId="0" applyAlignment="1" pivotButton="0" quotePrefix="0" xfId="0">
      <alignment horizontal="center"/>
    </xf>
    <xf numFmtId="0" fontId="20" fillId="14" borderId="0" applyAlignment="1" pivotButton="0" quotePrefix="0" xfId="0">
      <alignment horizontal="center"/>
    </xf>
    <xf numFmtId="0" fontId="20" fillId="15" borderId="0" applyAlignment="1" pivotButton="0" quotePrefix="0" xfId="0">
      <alignment horizontal="center"/>
    </xf>
    <xf numFmtId="0" fontId="26" fillId="0" borderId="0" pivotButton="0" quotePrefix="0" xfId="0"/>
    <xf numFmtId="3" fontId="24" fillId="11" borderId="0" pivotButton="0" quotePrefix="0" xfId="0"/>
    <xf numFmtId="176" fontId="24" fillId="11" borderId="0" pivotButton="0" quotePrefix="0" xfId="0"/>
    <xf numFmtId="9" fontId="24" fillId="11" borderId="0" pivotButton="0" quotePrefix="0" xfId="0"/>
    <xf numFmtId="2" fontId="24" fillId="11" borderId="0" pivotButton="0" quotePrefix="0" xfId="0"/>
    <xf numFmtId="168" fontId="24" fillId="11" borderId="0" pivotButton="0" quotePrefix="0" xfId="0"/>
    <xf numFmtId="10" fontId="24" fillId="11" borderId="0" pivotButton="0" quotePrefix="0" xfId="0"/>
    <xf numFmtId="166" fontId="21" fillId="0" borderId="0" pivotButton="0" quotePrefix="0" xfId="0"/>
    <xf numFmtId="0" fontId="21" fillId="11" borderId="0" pivotButton="0" quotePrefix="0" xfId="0"/>
    <xf numFmtId="0" fontId="19" fillId="0" borderId="0" pivotButton="0" quotePrefix="0" xfId="0"/>
    <xf numFmtId="0" fontId="20" fillId="0" borderId="0" pivotButton="0" quotePrefix="0" xfId="0"/>
    <xf numFmtId="173" fontId="21" fillId="0" borderId="0" pivotButton="0" quotePrefix="0" xfId="0"/>
    <xf numFmtId="173" fontId="0" fillId="0" borderId="0" pivotButton="0" quotePrefix="0" xfId="0"/>
    <xf numFmtId="175" fontId="0" fillId="0" borderId="0" pivotButton="0" quotePrefix="0" xfId="0"/>
    <xf numFmtId="10" fontId="0" fillId="0" borderId="0" pivotButton="0" quotePrefix="0" xfId="0"/>
  </cellXfs>
  <cellStyles count="2">
    <cellStyle name="Normal" xfId="0" builtinId="0"/>
    <cellStyle name="Normal 2 3" xfId="1"/>
  </cellStyles>
  <dxfs count="4">
    <dxf>
      <fill>
        <patternFill patternType="solid">
          <fgColor rgb="FFB7D3F6"/>
        </patternFill>
      </fill>
    </dxf>
    <dxf>
      <fill>
        <patternFill patternType="solid">
          <fgColor rgb="FFBFE6D6"/>
        </patternFill>
      </fill>
    </dxf>
    <dxf>
      <fill>
        <patternFill patternType="solid">
          <fgColor rgb="FFFBE3A6"/>
        </patternFill>
      </fill>
    </dxf>
    <dxf>
      <fill>
        <patternFill patternType="solid">
          <fgColor rgb="FFF4C1C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E6F4EA"/>
      <rgbColor rgb="FF660066"/>
      <rgbColor rgb="FFFF8080"/>
      <rgbColor rgb="FF0066CC"/>
      <rgbColor rgb="FFD6DD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7FE"/>
      <rgbColor rgb="FFF2F2F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568"/>
      <rgbColor rgb="FF99AAC3"/>
      <rgbColor rgb="FF163E64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EBITDA pre-IFRS 16 (€m)</a:t>
            </a:r>
          </a:p>
        </rich>
      </tx>
    </title>
    <plotArea>
      <lineChart>
        <grouping val="standard"/>
        <ser>
          <idx val="0"/>
          <order val="0"/>
          <tx>
            <v>Sin palancas</v>
          </tx>
          <spPr>
            <a:ln w="28000">
              <a:solidFill>
                <a:srgbClr val="89878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'Palancas_calc'!$C$3:$H$3</f>
            </numRef>
          </cat>
          <val>
            <numRef>
              <f>'Palancas_calc'!$C$19:$H$19</f>
            </numRef>
          </val>
          <smooth val="0"/>
        </ser>
        <ser>
          <idx val="1"/>
          <order val="1"/>
          <tx>
            <v>Con palancas</v>
          </tx>
          <spPr>
            <a:ln w="28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'Palancas_calc'!$C$3:$H$3</f>
            </numRef>
          </cat>
          <val>
            <numRef>
              <f>'Palancas_calc'!$C$62:$H$62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Unknown Author</author>
    <author>Javier Lázaro</author>
  </authors>
  <commentList>
    <comment ref="N36" authorId="0" shapeId="0">
      <text>
        <t>Intereses deducibles con tope del 30% del EBITDA reportado (art. 16 LIS). Requiere grupo fiscal (≥ 70%).</t>
      </text>
    </comment>
    <comment ref="N83" authorId="1" shapeId="0">
      <text>
        <t>Javier Lázaro:
He puesto 0% de pago el primer año para que de margen</t>
      </text>
    </comment>
    <comment ref="R83" authorId="0" shapeId="0">
      <text>
        <t>El 30% restante vence en 2031 y se repaga en la salida.</t>
      </text>
    </comment>
    <comment ref="A136" authorId="1" shapeId="0">
      <text>
        <t>Javier Lázaro:
He metido esta fila, DSCR (Debt Service Coverage Ratio): cuántas veces cubre la caja del año lo que hay que pagar de deuda ese año.</t>
      </text>
    </comment>
    <comment ref="N149" authorId="1" shapeId="0">
      <text>
        <t>Javier Lázaro:
Caja que nos sobra tras pagar la deuda</t>
      </text>
    </comment>
    <comment ref="A165" authorId="1" shapeId="0">
      <text>
        <t>Javier Lázaro:
Pendiente de decidir</t>
      </text>
    </comment>
    <comment ref="F168" authorId="0" shapeId="0">
      <text>
        <t>100%: OPA obligatoria por la totalidad (RD 1066/2007). Incluye la parte que Pontegadea aporta en especie (rollover).</t>
      </text>
    </comment>
    <comment ref="K172" authorId="1" shapeId="0">
      <text>
        <t>Javier Lázaro:
Porcentaje que reinvierte Amancio Ortega en la Topco</t>
      </text>
    </comment>
    <comment ref="K173" authorId="1" shapeId="0">
      <text>
        <t>Javier Lázaro:
Valor del rollover</t>
      </text>
    </comment>
    <comment ref="G177" authorId="0" shapeId="0">
      <text>
        <t>Euribor 3M a 1-oct-2026: 2,59% (euribor-rates.eu).</t>
      </text>
    </comment>
    <comment ref="G178" authorId="0" shapeId="0">
      <text>
        <t>Veces EBITDA según apuntes de Borja Tejedor: senior &lt; 4x (2x TLA + 2x TLB), +1x subordinada, +1x vendor loan.  IGUAL SE PODRÍA APLANCAR MÁS</t>
      </text>
    </comment>
    <comment ref="H178" authorId="1" shapeId="0">
      <text>
        <t>Javier Lázaro:
Los he subido, me parecían bajos</t>
      </text>
    </comment>
    <comment ref="F183" authorId="1" shapeId="0">
      <text>
        <t>Javier Lázaro:
Con la caja que sobra el 75% se usa para devolver TLB</t>
      </text>
    </comment>
    <comment ref="F186" authorId="0" shapeId="0">
      <text>
        <t>35% del margen de la RCF (referencia P. Eros).</t>
      </text>
    </comment>
    <comment ref="E196" authorId="1" shapeId="0">
      <text>
        <t>Javier Lázaro:
Todo lo que no cubre la deuda</t>
      </text>
    </comment>
    <comment ref="E207" authorId="1" shapeId="0">
      <text>
        <t>Javier Lázaro:
Lo que pone Amancio en la Topco</t>
      </text>
    </comment>
    <comment ref="E208" authorId="1" shapeId="0">
      <text>
        <t>Javier Lázaro:
Efectivo que tiene que poner el PE en la Topco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17</col>
      <colOff>0</colOff>
      <row>3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zoomScaleNormal="100" workbookViewId="0">
      <selection activeCell="A1" sqref="A1"/>
    </sheetView>
  </sheetViews>
  <sheetFormatPr baseColWidth="10" defaultColWidth="9.140625" defaultRowHeight="10.2"/>
  <cols>
    <col width="3" customWidth="1" min="1" max="1"/>
    <col width="4" customWidth="1" min="2" max="2"/>
    <col width="6" customWidth="1" min="3" max="3"/>
    <col width="32" customWidth="1" min="4" max="4"/>
    <col width="90" customWidth="1" min="5" max="5"/>
    <col width="16" customWidth="1" min="6" max="6"/>
  </cols>
  <sheetData>
    <row r="1" ht="18" customHeight="1">
      <c r="A1" s="3" t="n"/>
      <c r="B1" s="4" t="inlineStr">
        <is>
          <t>Project Galicia — Inditex (ITX.MC)</t>
        </is>
      </c>
      <c r="C1" s="3" t="n"/>
      <c r="D1" s="3" t="n"/>
      <c r="E1" s="3" t="n"/>
      <c r="F1" s="5" t="inlineStr">
        <is>
          <t>Private &amp; Confidential</t>
        </is>
      </c>
    </row>
    <row r="2" ht="15.75" customHeight="1">
      <c r="A2" s="3" t="n"/>
      <c r="B2" s="6" t="inlineStr">
        <is>
          <t>Ortega Block Control Buyout — Instructions &amp; Interactive Switches</t>
        </is>
      </c>
      <c r="C2" s="3" t="n"/>
      <c r="D2" s="3" t="n"/>
      <c r="E2" s="3" t="n"/>
      <c r="F2" s="3" t="n"/>
    </row>
    <row r="4" ht="18" customHeight="1">
      <c r="C4" s="7" t="inlineStr">
        <is>
          <t>Step</t>
        </is>
      </c>
      <c r="D4" s="8" t="inlineStr">
        <is>
          <t>Reference Block (Linked)</t>
        </is>
      </c>
      <c r="E4" s="8" t="inlineStr">
        <is>
          <t>Explanation &amp; Interactive Switches (Soft Yellow / Blue Font = User Input)</t>
        </is>
      </c>
    </row>
    <row r="5" ht="27.75" customHeight="1">
      <c r="C5" s="9" t="n">
        <v>1</v>
      </c>
      <c r="D5" s="10">
        <f>+LBO!D9</f>
        <v/>
      </c>
      <c r="E5" s="11" t="inlineStr">
        <is>
          <t>Operating Scenario Selector (Rows 7-17): Change cell F9 (1 = Base Case, 2 = Bull Case, 3 = Bear Case) to switch operating projections. Rows 21-32, Working Capital, and Capex represent 100% of Inditex Consolidated figures.</t>
        </is>
      </c>
    </row>
    <row r="6" ht="27.75" customHeight="1">
      <c r="C6" s="9" t="n">
        <v>2</v>
      </c>
      <c r="D6" s="10">
        <f>+LBO!D21</f>
        <v/>
      </c>
      <c r="E6" s="11" t="inlineStr">
        <is>
          <t>P&amp;L &amp; Attributable LBO Perimeter (Rows 19-37): Models 100% of Inditex down to Adj. EBIT (Row 32) and scales Attributable Adj. EBIT (Row 33) by the % Stake Acquired (F168, default 64.35% = Amancio + Sandra Ortega) to deduct LBO interest and compute taxes.</t>
        </is>
      </c>
    </row>
    <row r="7" ht="27.75" customHeight="1">
      <c r="C7" s="9" t="n">
        <v>3</v>
      </c>
      <c r="D7" s="10">
        <f>+LBO!D43</f>
        <v/>
      </c>
      <c r="E7" s="11" t="inlineStr">
        <is>
          <t>Operating Working Capital Schedule (Rows 43-49): Models 100% Inditex Inventory, Receivables, and Payables as % of Revenues. Attributable cash flow from WK is scaled by F168 in the Cash Flow Statement.</t>
        </is>
      </c>
    </row>
    <row r="8" ht="27.75" customHeight="1">
      <c r="C8" s="9" t="n">
        <v>4</v>
      </c>
      <c r="D8" s="10">
        <f>+LBO!D52</f>
        <v/>
      </c>
      <c r="E8" s="11" t="inlineStr">
        <is>
          <t>Capex &amp; D&amp;A Schedule (Rows 52-73): Tracks 100% Inditex Owned PP&amp;E and Intangibles (€12,778m at FY25A close) and depreciates existing assets and new Capex vintages over 10 years.</t>
        </is>
      </c>
    </row>
    <row r="9" ht="27.75" customHeight="1">
      <c r="C9" s="9" t="n">
        <v>5</v>
      </c>
      <c r="D9" s="10">
        <f>+LBO!D76</f>
        <v/>
      </c>
      <c r="E9" s="11" t="inlineStr">
        <is>
          <t>4-Tranche Debt &amp; Liquidity Schedule (Rows 76-135): Models (1A) Senior TLA (amortising), (1B) Senior TLB (bullet by default; adjustable Cash Sweep % in F183), (2) Subordinated Debt (adjustable Cash vs PIK switch in I180), (3) Ortega Family Vendor Loan (adjustable Cash vs PIK switch in I181), and (4) RCF.</t>
        </is>
      </c>
    </row>
    <row r="10" ht="27.75" customHeight="1">
      <c r="C10" s="9" t="n">
        <v>6</v>
      </c>
      <c r="D10" s="10">
        <f>+LBO!D163</f>
        <v/>
      </c>
      <c r="E10" s="11" t="inlineStr">
        <is>
          <t>Adjustable Acquisition Perimeter &amp; Sources &amp; Uses (Rows 162-209): Adjust Stake Acquired % in F168 (default 64.35%), Offer Premium % in F165 (default 5.0%), TLB Cash Sweep % in F183 (default 0% bullet), and Cash/PIK switches in I180:I181 (0 = Cash Interest, 1 = PIK). Sponsor owns 100% of Newco.</t>
        </is>
      </c>
    </row>
    <row r="11" ht="27.75" customHeight="1">
      <c r="C11" s="9" t="n">
        <v>7</v>
      </c>
      <c r="D11" s="10">
        <f>+LBO!D215</f>
        <v/>
      </c>
      <c r="E11" s="11" t="inlineStr">
        <is>
          <t>Exit Valuation, Returns (IRR / MoM) &amp; Integrity Checks (Rows 212-252): Evaluates Attributable Exit EV, net debt, and Sponsor IRR/MoM across FY26E-FY30E. Includes a 3x3 sensitivity table (Offer Premium x Total Debt Leverage) and 6 automated integrity checks.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52"/>
  <sheetViews>
    <sheetView showGridLines="0" zoomScaleNormal="100" workbookViewId="0">
      <selection activeCell="A1" sqref="A1"/>
    </sheetView>
  </sheetViews>
  <sheetFormatPr baseColWidth="10" defaultColWidth="9.140625" defaultRowHeight="10.2"/>
  <cols>
    <col width="3.140625" customWidth="1" min="1" max="1"/>
    <col width="3.85546875" customWidth="1" min="2" max="2"/>
    <col width="4.85546875" customWidth="1" min="3" max="3"/>
    <col width="38" customWidth="1" min="4" max="4"/>
    <col width="11" customWidth="1" min="5" max="6"/>
    <col width="10.42578125" customWidth="1" min="7" max="7"/>
    <col width="11" customWidth="1" min="8" max="8"/>
    <col width="9.42578125" customWidth="1" min="9" max="9"/>
    <col width="11.42578125" customWidth="1" min="10" max="18"/>
    <col width="3.42578125" customWidth="1" min="19" max="19"/>
    <col width="10" customWidth="1" min="20" max="20"/>
    <col width="11.42578125" customWidth="1" min="21" max="22"/>
  </cols>
  <sheetData>
    <row r="1" ht="18" customHeight="1">
      <c r="A1" s="3" t="n"/>
      <c r="B1" s="4" t="inlineStr">
        <is>
          <t>Project Galicia — Inditex (ITX.MC)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</row>
    <row r="2" ht="15.75" customHeight="1">
      <c r="A2" s="6" t="inlineStr">
        <is>
          <t xml:space="preserve">&gt; </t>
        </is>
      </c>
      <c r="B2" s="6" t="inlineStr">
        <is>
          <t>Control Buyout Model (Ortega Family Stake Acquisition: Senior + Subordinated + Vendor Loan)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5" t="inlineStr">
        <is>
          <t>Private &amp; Confidential</t>
        </is>
      </c>
      <c r="V2" s="3" t="n"/>
    </row>
    <row r="5" ht="15.75" customHeight="1">
      <c r="A5" s="12" t="inlineStr">
        <is>
          <t>&gt;</t>
        </is>
      </c>
      <c r="B5" s="12" t="inlineStr">
        <is>
          <t>&gt;</t>
        </is>
      </c>
      <c r="C5" s="13" t="inlineStr">
        <is>
          <t>Operating model (100% Inditex Consolidated)</t>
        </is>
      </c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</row>
    <row r="7">
      <c r="B7" s="12" t="inlineStr">
        <is>
          <t>&gt;</t>
        </is>
      </c>
      <c r="C7" s="14" t="inlineStr">
        <is>
          <t>Drivers</t>
        </is>
      </c>
      <c r="D7" s="14" t="n"/>
      <c r="E7" s="15" t="inlineStr">
        <is>
          <t>1</t>
        </is>
      </c>
      <c r="F7" s="15" t="inlineStr">
        <is>
          <t>2</t>
        </is>
      </c>
      <c r="G7" s="15" t="inlineStr">
        <is>
          <t>3</t>
        </is>
      </c>
      <c r="H7" s="15" t="inlineStr">
        <is>
          <t>Active Case:</t>
        </is>
      </c>
      <c r="I7" s="14" t="n"/>
      <c r="J7" s="15" t="inlineStr">
        <is>
          <t>31-Jan</t>
        </is>
      </c>
      <c r="K7" s="15" t="inlineStr">
        <is>
          <t>31-Jan</t>
        </is>
      </c>
      <c r="L7" s="15" t="inlineStr">
        <is>
          <t>31-Jan</t>
        </is>
      </c>
      <c r="M7" s="15" t="inlineStr">
        <is>
          <t>31-Jan</t>
        </is>
      </c>
      <c r="N7" s="15" t="inlineStr">
        <is>
          <t>31-Jan</t>
        </is>
      </c>
      <c r="O7" s="15" t="inlineStr">
        <is>
          <t>31-Jan</t>
        </is>
      </c>
      <c r="P7" s="15" t="inlineStr">
        <is>
          <t>31-Jan</t>
        </is>
      </c>
      <c r="Q7" s="15" t="inlineStr">
        <is>
          <t>31-Jan</t>
        </is>
      </c>
      <c r="R7" s="15" t="inlineStr">
        <is>
          <t>31-Jan</t>
        </is>
      </c>
      <c r="S7" s="14" t="n"/>
      <c r="T7" s="14" t="n"/>
      <c r="U7" s="14" t="n"/>
      <c r="V7" s="14" t="n"/>
    </row>
    <row r="8">
      <c r="C8" s="14" t="n"/>
      <c r="D8" s="14" t="inlineStr">
        <is>
          <t>Operating Driver / Scenario Presets</t>
        </is>
      </c>
      <c r="E8" s="15" t="inlineStr">
        <is>
          <t>Base Case</t>
        </is>
      </c>
      <c r="F8" s="15" t="inlineStr">
        <is>
          <t>Bull Case</t>
        </is>
      </c>
      <c r="G8" s="15" t="inlineStr">
        <is>
          <t>Bear Case</t>
        </is>
      </c>
      <c r="H8" s="15">
        <f>CHOOSE($F$9,E8,F8,G8)</f>
        <v/>
      </c>
      <c r="I8" s="14" t="n"/>
      <c r="J8" s="16" t="n">
        <v>2022</v>
      </c>
      <c r="K8" s="16">
        <f>+J8+1</f>
        <v/>
      </c>
      <c r="L8" s="16">
        <f>+K8+1</f>
        <v/>
      </c>
      <c r="M8" s="16">
        <f>+L8+1</f>
        <v/>
      </c>
      <c r="N8" s="17">
        <f>+M8+1</f>
        <v/>
      </c>
      <c r="O8" s="17">
        <f>+N8+1</f>
        <v/>
      </c>
      <c r="P8" s="17">
        <f>+O8+1</f>
        <v/>
      </c>
      <c r="Q8" s="17">
        <f>+P8+1</f>
        <v/>
      </c>
      <c r="R8" s="17">
        <f>+Q8+1</f>
        <v/>
      </c>
      <c r="S8" s="14" t="n"/>
      <c r="T8" s="14" t="n"/>
      <c r="U8" s="14" t="n"/>
      <c r="V8" s="14" t="n"/>
    </row>
    <row r="9">
      <c r="B9" s="9" t="n">
        <v>1</v>
      </c>
      <c r="D9" s="18" t="inlineStr">
        <is>
          <t>Active Scenario Selector (1=Base, 2=Bull, 3=Bear)</t>
        </is>
      </c>
      <c r="E9" s="19" t="inlineStr">
        <is>
          <t>Select 1-3 -&gt;</t>
        </is>
      </c>
      <c r="F9" s="20" t="n">
        <v>1</v>
      </c>
      <c r="G9" s="18" t="n"/>
      <c r="H9" s="21">
        <f>CHOOSE($F$9,E8,F8,G8)</f>
        <v/>
      </c>
    </row>
    <row r="10">
      <c r="D10" s="22" t="inlineStr">
        <is>
          <t>Revenue growth (% YoY)</t>
        </is>
      </c>
      <c r="E10" s="23" t="n">
        <v>0.055</v>
      </c>
      <c r="F10" s="23" t="n">
        <v>0.08</v>
      </c>
      <c r="G10" s="23" t="n">
        <v>0.0225</v>
      </c>
      <c r="H10" s="24">
        <f>CHOOSE($F$9,E10,F10,G10)</f>
        <v/>
      </c>
      <c r="J10" s="23" t="n">
        <v>0.175</v>
      </c>
      <c r="K10" s="23" t="n">
        <v>0.104</v>
      </c>
      <c r="L10" s="23" t="n">
        <v>0.075</v>
      </c>
      <c r="M10" s="23" t="n">
        <v>0.032</v>
      </c>
      <c r="N10" s="25">
        <f>+$H10</f>
        <v/>
      </c>
      <c r="O10" s="25">
        <f>+$H10</f>
        <v/>
      </c>
      <c r="P10" s="25">
        <f>+$H10</f>
        <v/>
      </c>
      <c r="Q10" s="25">
        <f>+$H10</f>
        <v/>
      </c>
      <c r="R10" s="25">
        <f>+$H10</f>
        <v/>
      </c>
    </row>
    <row r="11">
      <c r="D11" s="22" t="inlineStr">
        <is>
          <t>Gross margin (% of revenues)</t>
        </is>
      </c>
      <c r="E11" s="23" t="n">
        <v>0.582</v>
      </c>
      <c r="F11" s="23" t="n">
        <v>0.59</v>
      </c>
      <c r="G11" s="23" t="n">
        <v>0.57</v>
      </c>
      <c r="H11" s="24">
        <f>CHOOSE($F$9,E11,F11,G11)</f>
        <v/>
      </c>
      <c r="J11" s="26">
        <f>+J23/J$21</f>
        <v/>
      </c>
      <c r="K11" s="26">
        <f>+K23/K$21</f>
        <v/>
      </c>
      <c r="L11" s="26">
        <f>+L23/L$21</f>
        <v/>
      </c>
      <c r="M11" s="26">
        <f>+M23/M$21</f>
        <v/>
      </c>
      <c r="N11" s="25">
        <f>+$H11</f>
        <v/>
      </c>
      <c r="O11" s="25">
        <f>+$H11</f>
        <v/>
      </c>
      <c r="P11" s="25">
        <f>+$H11</f>
        <v/>
      </c>
      <c r="Q11" s="25">
        <f>+$H11</f>
        <v/>
      </c>
      <c r="R11" s="25">
        <f>+$H11</f>
        <v/>
      </c>
    </row>
    <row r="12">
      <c r="D12" s="22" t="inlineStr">
        <is>
          <t>OpEx growth (% YoY)</t>
        </is>
      </c>
      <c r="E12" s="23" t="n">
        <v>0.0425</v>
      </c>
      <c r="F12" s="23" t="n">
        <v>0.055</v>
      </c>
      <c r="G12" s="23" t="n">
        <v>0.0325</v>
      </c>
      <c r="H12" s="24">
        <f>CHOOSE($F$9,E12,F12,G12)</f>
        <v/>
      </c>
      <c r="J12" s="23" t="n">
        <v>0.109</v>
      </c>
      <c r="K12" s="23" t="n">
        <v>0.1</v>
      </c>
      <c r="L12" s="23" t="n">
        <v>0.065</v>
      </c>
      <c r="M12" s="23" t="n">
        <v>0.028</v>
      </c>
      <c r="N12" s="25">
        <f>+$H12</f>
        <v/>
      </c>
      <c r="O12" s="25">
        <f>+$H12</f>
        <v/>
      </c>
      <c r="P12" s="25">
        <f>+$H12</f>
        <v/>
      </c>
      <c r="Q12" s="25">
        <f>+$H12</f>
        <v/>
      </c>
      <c r="R12" s="25">
        <f>+$H12</f>
        <v/>
      </c>
    </row>
    <row r="13">
      <c r="D13" s="22" t="inlineStr">
        <is>
          <t>Fixed lease cash outflow growth (%)</t>
        </is>
      </c>
      <c r="E13" s="23" t="n">
        <v>0.02</v>
      </c>
      <c r="F13" s="23" t="n">
        <v>0.03</v>
      </c>
      <c r="G13" s="23" t="n">
        <v>0.01</v>
      </c>
      <c r="H13" s="24">
        <f>CHOOSE($F$9,E13,F13,G13)</f>
        <v/>
      </c>
      <c r="J13" s="23" t="n">
        <v>0.05</v>
      </c>
      <c r="K13" s="26">
        <f>+K28/J28-1</f>
        <v/>
      </c>
      <c r="L13" s="26">
        <f>+L28/K28-1</f>
        <v/>
      </c>
      <c r="M13" s="26">
        <f>+M28/L28-1</f>
        <v/>
      </c>
      <c r="N13" s="25">
        <f>+$H13</f>
        <v/>
      </c>
      <c r="O13" s="25">
        <f>+$H13</f>
        <v/>
      </c>
      <c r="P13" s="25">
        <f>+$H13</f>
        <v/>
      </c>
      <c r="Q13" s="25">
        <f>+$H13</f>
        <v/>
      </c>
      <c r="R13" s="25">
        <f>+$H13</f>
        <v/>
      </c>
    </row>
    <row r="14">
      <c r="D14" s="22" t="inlineStr">
        <is>
          <t>Capex (% of revenues)</t>
        </is>
      </c>
      <c r="E14" s="23" t="n">
        <v>0.052</v>
      </c>
      <c r="F14" s="23" t="n">
        <v>0.0535</v>
      </c>
      <c r="G14" s="23" t="n">
        <v>0.049</v>
      </c>
      <c r="H14" s="24">
        <f>CHOOSE($F$9,E14,F14,G14)</f>
        <v/>
      </c>
      <c r="J14" s="26">
        <f>+J58/J$21</f>
        <v/>
      </c>
      <c r="K14" s="26">
        <f>+K58/K$21</f>
        <v/>
      </c>
      <c r="L14" s="26">
        <f>+L58/L$21</f>
        <v/>
      </c>
      <c r="M14" s="26">
        <f>+M58/M$21</f>
        <v/>
      </c>
      <c r="N14" s="25">
        <f>+$H14</f>
        <v/>
      </c>
      <c r="O14" s="25">
        <f>+$H14</f>
        <v/>
      </c>
      <c r="P14" s="25">
        <f>+$H14</f>
        <v/>
      </c>
      <c r="Q14" s="25">
        <f>+$H14</f>
        <v/>
      </c>
      <c r="R14" s="25">
        <f>+$H14</f>
        <v/>
      </c>
    </row>
    <row r="15">
      <c r="D15" s="22" t="inlineStr">
        <is>
          <t>Inventory (% of revenues)</t>
        </is>
      </c>
      <c r="E15" s="23" t="n">
        <v>0.0815</v>
      </c>
      <c r="F15" s="23" t="n">
        <v>0.079</v>
      </c>
      <c r="G15" s="23" t="n">
        <v>0.08500000000000001</v>
      </c>
      <c r="H15" s="24">
        <f>CHOOSE($F$9,E15,F15,G15)</f>
        <v/>
      </c>
      <c r="J15" s="26">
        <f>+J44/J$21</f>
        <v/>
      </c>
      <c r="K15" s="26">
        <f>+K44/K$21</f>
        <v/>
      </c>
      <c r="L15" s="26">
        <f>+L44/L$21</f>
        <v/>
      </c>
      <c r="M15" s="26">
        <f>+M44/M$21</f>
        <v/>
      </c>
      <c r="N15" s="25">
        <f>+$H15</f>
        <v/>
      </c>
      <c r="O15" s="25">
        <f>+$H15</f>
        <v/>
      </c>
      <c r="P15" s="25">
        <f>+$H15</f>
        <v/>
      </c>
      <c r="Q15" s="25">
        <f>+$H15</f>
        <v/>
      </c>
      <c r="R15" s="25">
        <f>+$H15</f>
        <v/>
      </c>
    </row>
    <row r="16">
      <c r="D16" s="22" t="inlineStr">
        <is>
          <t>Receivables (% of revenues)</t>
        </is>
      </c>
      <c r="E16" s="23" t="n">
        <v>0.0292</v>
      </c>
      <c r="F16" s="23" t="n">
        <v>0.0285</v>
      </c>
      <c r="G16" s="23" t="n">
        <v>0.03</v>
      </c>
      <c r="H16" s="24">
        <f>CHOOSE($F$9,E16,F16,G16)</f>
        <v/>
      </c>
      <c r="J16" s="26">
        <f>+J45/J$21</f>
        <v/>
      </c>
      <c r="K16" s="26">
        <f>+K45/K$21</f>
        <v/>
      </c>
      <c r="L16" s="26">
        <f>+L45/L$21</f>
        <v/>
      </c>
      <c r="M16" s="26">
        <f>+M45/M$21</f>
        <v/>
      </c>
      <c r="N16" s="25">
        <f>+$H16</f>
        <v/>
      </c>
      <c r="O16" s="25">
        <f>+$H16</f>
        <v/>
      </c>
      <c r="P16" s="25">
        <f>+$H16</f>
        <v/>
      </c>
      <c r="Q16" s="25">
        <f>+$H16</f>
        <v/>
      </c>
      <c r="R16" s="25">
        <f>+$H16</f>
        <v/>
      </c>
    </row>
    <row r="17">
      <c r="D17" s="22" t="inlineStr">
        <is>
          <t>Payables (% of revenues, negative)</t>
        </is>
      </c>
      <c r="E17" s="23" t="n">
        <v>-0.2154</v>
      </c>
      <c r="F17" s="23" t="n">
        <v>-0.2155</v>
      </c>
      <c r="G17" s="23" t="n">
        <v>-0.213</v>
      </c>
      <c r="H17" s="24">
        <f>CHOOSE($F$9,E17,F17,G17)</f>
        <v/>
      </c>
      <c r="J17" s="26">
        <f>+J46/J$21</f>
        <v/>
      </c>
      <c r="K17" s="26">
        <f>+K46/K$21</f>
        <v/>
      </c>
      <c r="L17" s="26">
        <f>+L46/L$21</f>
        <v/>
      </c>
      <c r="M17" s="26">
        <f>+M46/M$21</f>
        <v/>
      </c>
      <c r="N17" s="25">
        <f>+$H17</f>
        <v/>
      </c>
      <c r="O17" s="25">
        <f>+$H17</f>
        <v/>
      </c>
      <c r="P17" s="25">
        <f>+$H17</f>
        <v/>
      </c>
      <c r="Q17" s="25">
        <f>+$H17</f>
        <v/>
      </c>
      <c r="R17" s="25">
        <f>+$H17</f>
        <v/>
      </c>
    </row>
    <row r="19" ht="13.5" customHeight="1">
      <c r="B19" s="12" t="inlineStr">
        <is>
          <t>&gt;</t>
        </is>
      </c>
      <c r="C19" s="14" t="inlineStr">
        <is>
          <t>P&amp;L</t>
        </is>
      </c>
      <c r="D19" s="14" t="n"/>
      <c r="E19" s="14" t="n"/>
      <c r="F19" s="14" t="n"/>
      <c r="G19" s="14" t="n"/>
      <c r="H19" s="14" t="n"/>
      <c r="I19" s="14" t="n"/>
      <c r="J19" s="15" t="inlineStr">
        <is>
          <t>31-Jan</t>
        </is>
      </c>
      <c r="K19" s="15" t="inlineStr">
        <is>
          <t>31-Jan</t>
        </is>
      </c>
      <c r="L19" s="15" t="inlineStr">
        <is>
          <t>31-Jan</t>
        </is>
      </c>
      <c r="M19" s="15" t="inlineStr">
        <is>
          <t>31-Jan</t>
        </is>
      </c>
      <c r="N19" s="15" t="inlineStr">
        <is>
          <t>31-Jan</t>
        </is>
      </c>
      <c r="O19" s="15" t="inlineStr">
        <is>
          <t>31-Jan</t>
        </is>
      </c>
      <c r="P19" s="15" t="inlineStr">
        <is>
          <t>31-Jan</t>
        </is>
      </c>
      <c r="Q19" s="15" t="inlineStr">
        <is>
          <t>31-Jan</t>
        </is>
      </c>
      <c r="R19" s="15" t="inlineStr">
        <is>
          <t>31-Jan</t>
        </is>
      </c>
      <c r="S19" s="14" t="n"/>
      <c r="T19" s="14" t="n"/>
      <c r="U19" s="2" t="inlineStr">
        <is>
          <t>CAGR
22A-25A</t>
        </is>
      </c>
      <c r="V19" s="2" t="inlineStr">
        <is>
          <t>CAGR
25A-30E</t>
        </is>
      </c>
    </row>
    <row r="20" ht="13.5" customHeight="1">
      <c r="C20" s="14" t="inlineStr">
        <is>
          <t>€m</t>
        </is>
      </c>
      <c r="D20" s="14" t="n"/>
      <c r="E20" s="14" t="n"/>
      <c r="F20" s="14" t="n"/>
      <c r="G20" s="14" t="n"/>
      <c r="H20" s="14" t="n"/>
      <c r="I20" s="14" t="n"/>
      <c r="J20" s="16" t="n">
        <v>2022</v>
      </c>
      <c r="K20" s="16">
        <f>+J20+1</f>
        <v/>
      </c>
      <c r="L20" s="16">
        <f>+K20+1</f>
        <v/>
      </c>
      <c r="M20" s="16">
        <f>+L20+1</f>
        <v/>
      </c>
      <c r="N20" s="17">
        <f>+M20+1</f>
        <v/>
      </c>
      <c r="O20" s="17">
        <f>+N20+1</f>
        <v/>
      </c>
      <c r="P20" s="17">
        <f>+O20+1</f>
        <v/>
      </c>
      <c r="Q20" s="17">
        <f>+P20+1</f>
        <v/>
      </c>
      <c r="R20" s="17">
        <f>+Q20+1</f>
        <v/>
      </c>
      <c r="S20" s="14" t="n"/>
      <c r="T20" s="14" t="n"/>
    </row>
    <row r="21">
      <c r="B21" s="9" t="n">
        <v>2</v>
      </c>
      <c r="D21" s="18" t="inlineStr">
        <is>
          <t>Revenues (100% Inditex)</t>
        </is>
      </c>
      <c r="E21" s="18" t="n"/>
      <c r="F21" s="18" t="n"/>
      <c r="G21" s="18" t="n"/>
      <c r="H21" s="18" t="n"/>
      <c r="I21" s="18" t="n"/>
      <c r="J21" s="27" t="n">
        <v>32569</v>
      </c>
      <c r="K21" s="27" t="n">
        <v>35947</v>
      </c>
      <c r="L21" s="27" t="n">
        <v>38632</v>
      </c>
      <c r="M21" s="27" t="n">
        <v>39864</v>
      </c>
      <c r="N21" s="28">
        <f>+M21*(1+N10)</f>
        <v/>
      </c>
      <c r="O21" s="28">
        <f>+N21*(1+O10)</f>
        <v/>
      </c>
      <c r="P21" s="28">
        <f>+O21*(1+P10)</f>
        <v/>
      </c>
      <c r="Q21" s="28">
        <f>+P21*(1+Q10)</f>
        <v/>
      </c>
      <c r="R21" s="28">
        <f>+Q21*(1+R10)</f>
        <v/>
      </c>
      <c r="S21" s="18" t="n"/>
      <c r="T21" s="18" t="n"/>
      <c r="U21" s="29">
        <f>+IFERROR((M21/J21)^(1/(M$20-J$20))-1,0)</f>
        <v/>
      </c>
      <c r="V21" s="29">
        <f>+IFERROR((R21/M21)^(1/(R$20-M$20))-1,"n.a.")</f>
        <v/>
      </c>
    </row>
    <row r="22">
      <c r="D22" s="22" t="inlineStr">
        <is>
          <t>COGS</t>
        </is>
      </c>
      <c r="J22" s="30">
        <f>+J23-J21</f>
        <v/>
      </c>
      <c r="K22" s="30">
        <f>+K23-K21</f>
        <v/>
      </c>
      <c r="L22" s="30">
        <f>+L23-L21</f>
        <v/>
      </c>
      <c r="M22" s="30">
        <f>+M23-M21</f>
        <v/>
      </c>
      <c r="N22" s="30">
        <f>+N23-N21</f>
        <v/>
      </c>
      <c r="O22" s="30">
        <f>+O23-O21</f>
        <v/>
      </c>
      <c r="P22" s="30">
        <f>+P23-P21</f>
        <v/>
      </c>
      <c r="Q22" s="30">
        <f>+Q23-Q21</f>
        <v/>
      </c>
      <c r="R22" s="30">
        <f>+R23-R21</f>
        <v/>
      </c>
      <c r="U22" s="31">
        <f>+IFERROR((M22/J22)^(1/(M$20-J$20))-1,0)</f>
        <v/>
      </c>
      <c r="V22" s="31">
        <f>+IFERROR((R22/M22)^(1/(R$20-M$20))-1,"n.a.")</f>
        <v/>
      </c>
    </row>
    <row r="23">
      <c r="D23" s="18" t="inlineStr">
        <is>
          <t>Gross margin</t>
        </is>
      </c>
      <c r="E23" s="18" t="n"/>
      <c r="F23" s="18" t="n"/>
      <c r="G23" s="18" t="n"/>
      <c r="H23" s="18" t="n"/>
      <c r="I23" s="18" t="n"/>
      <c r="J23" s="27" t="n">
        <v>18559</v>
      </c>
      <c r="K23" s="27" t="n">
        <v>20762</v>
      </c>
      <c r="L23" s="27" t="n">
        <v>22343</v>
      </c>
      <c r="M23" s="27" t="n">
        <v>23222</v>
      </c>
      <c r="N23" s="28">
        <f>+N21*N11</f>
        <v/>
      </c>
      <c r="O23" s="28">
        <f>+O21*O11</f>
        <v/>
      </c>
      <c r="P23" s="28">
        <f>+P21*P11</f>
        <v/>
      </c>
      <c r="Q23" s="28">
        <f>+Q21*Q11</f>
        <v/>
      </c>
      <c r="R23" s="28">
        <f>+R21*R11</f>
        <v/>
      </c>
      <c r="S23" s="18" t="n"/>
      <c r="T23" s="18" t="n"/>
      <c r="U23" s="29">
        <f>+IFERROR((M23/J23)^(1/(M$20-J$20))-1,0)</f>
        <v/>
      </c>
      <c r="V23" s="29">
        <f>+IFERROR((R23/M23)^(1/(R$20-M$20))-1,"n.a.")</f>
        <v/>
      </c>
    </row>
    <row r="24">
      <c r="D24" s="32" t="inlineStr">
        <is>
          <t>% margin</t>
        </is>
      </c>
      <c r="J24" s="33">
        <f>+IFERROR(J23/J$21,0)</f>
        <v/>
      </c>
      <c r="K24" s="33">
        <f>+IFERROR(K23/K$21,0)</f>
        <v/>
      </c>
      <c r="L24" s="33">
        <f>+IFERROR(L23/L$21,0)</f>
        <v/>
      </c>
      <c r="M24" s="33">
        <f>+IFERROR(M23/M$21,0)</f>
        <v/>
      </c>
      <c r="N24" s="33">
        <f>+IFERROR(N23/N$21,0)</f>
        <v/>
      </c>
      <c r="O24" s="33">
        <f>+IFERROR(O23/O$21,0)</f>
        <v/>
      </c>
      <c r="P24" s="33">
        <f>+IFERROR(P23/P$21,0)</f>
        <v/>
      </c>
      <c r="Q24" s="33">
        <f>+IFERROR(Q23/Q$21,0)</f>
        <v/>
      </c>
      <c r="R24" s="33">
        <f>+IFERROR(R23/R$21,0)</f>
        <v/>
      </c>
      <c r="U24" s="31">
        <f>+IFERROR((M24/J24)^(1/(M$20-J$20))-1,0)</f>
        <v/>
      </c>
      <c r="V24" s="31">
        <f>+IFERROR((R24/M24)^(1/(R$20-M$20))-1,"n.a.")</f>
        <v/>
      </c>
    </row>
    <row r="25">
      <c r="D25" s="22" t="inlineStr">
        <is>
          <t>Opex (incl. variable turnover rent)</t>
        </is>
      </c>
      <c r="J25" s="34" t="n">
        <v>-9910</v>
      </c>
      <c r="K25" s="34" t="n">
        <v>-10912</v>
      </c>
      <c r="L25" s="34" t="n">
        <v>-11615</v>
      </c>
      <c r="M25" s="34" t="n">
        <v>-11955</v>
      </c>
      <c r="N25" s="35">
        <f>+M25*(1+N12)</f>
        <v/>
      </c>
      <c r="O25" s="35">
        <f>+N25*(1+O12)</f>
        <v/>
      </c>
      <c r="P25" s="35">
        <f>+O25*(1+P12)</f>
        <v/>
      </c>
      <c r="Q25" s="35">
        <f>+P25*(1+Q12)</f>
        <v/>
      </c>
      <c r="R25" s="35">
        <f>+Q25*(1+R12)</f>
        <v/>
      </c>
      <c r="U25" s="31">
        <f>+IFERROR((M25/J25)^(1/(M$20-J$20))-1,0)</f>
        <v/>
      </c>
      <c r="V25" s="31">
        <f>+IFERROR((R25/M25)^(1/(R$20-M$20))-1,"n.a.")</f>
        <v/>
      </c>
    </row>
    <row r="26">
      <c r="D26" s="18" t="inlineStr">
        <is>
          <t>Reported EBITDA (Post-IFRS 16 — 100% Inditex)</t>
        </is>
      </c>
      <c r="E26" s="18" t="n"/>
      <c r="F26" s="18" t="n"/>
      <c r="G26" s="18" t="n"/>
      <c r="H26" s="18" t="n"/>
      <c r="I26" s="18" t="n"/>
      <c r="J26" s="28">
        <f>+J23+J25</f>
        <v/>
      </c>
      <c r="K26" s="28">
        <f>+K23+K25</f>
        <v/>
      </c>
      <c r="L26" s="28">
        <f>+L23+L25</f>
        <v/>
      </c>
      <c r="M26" s="28">
        <f>+M23+M25</f>
        <v/>
      </c>
      <c r="N26" s="28">
        <f>+N23+N25</f>
        <v/>
      </c>
      <c r="O26" s="28">
        <f>+O23+O25</f>
        <v/>
      </c>
      <c r="P26" s="28">
        <f>+P23+P25</f>
        <v/>
      </c>
      <c r="Q26" s="28">
        <f>+Q23+Q25</f>
        <v/>
      </c>
      <c r="R26" s="28">
        <f>+R23+R25</f>
        <v/>
      </c>
      <c r="S26" s="18" t="n"/>
      <c r="T26" s="18" t="n"/>
      <c r="U26" s="29">
        <f>+IFERROR((M26/J26)^(1/(M$20-J$20))-1,0)</f>
        <v/>
      </c>
      <c r="V26" s="29">
        <f>+IFERROR((R26/M26)^(1/(R$20-M$20))-1,"n.a.")</f>
        <v/>
      </c>
    </row>
    <row r="27">
      <c r="D27" s="32" t="inlineStr">
        <is>
          <t>% margin (Post-IFRS 16)</t>
        </is>
      </c>
      <c r="J27" s="33">
        <f>+IFERROR(J26/J$21,0)</f>
        <v/>
      </c>
      <c r="K27" s="33">
        <f>+IFERROR(K26/K$21,0)</f>
        <v/>
      </c>
      <c r="L27" s="33">
        <f>+IFERROR(L26/L$21,0)</f>
        <v/>
      </c>
      <c r="M27" s="33">
        <f>+IFERROR(M26/M$21,0)</f>
        <v/>
      </c>
      <c r="N27" s="33">
        <f>+IFERROR(N26/N$21,0)</f>
        <v/>
      </c>
      <c r="O27" s="33">
        <f>+IFERROR(O26/O$21,0)</f>
        <v/>
      </c>
      <c r="P27" s="33">
        <f>+IFERROR(P26/P$21,0)</f>
        <v/>
      </c>
      <c r="Q27" s="33">
        <f>+IFERROR(Q26/Q$21,0)</f>
        <v/>
      </c>
      <c r="R27" s="33">
        <f>+IFERROR(R26/R$21,0)</f>
        <v/>
      </c>
      <c r="U27" s="31">
        <f>+IFERROR((M27/J27)^(1/(M$20-J$20))-1,0)</f>
        <v/>
      </c>
      <c r="V27" s="31">
        <f>+IFERROR((R27/M27)^(1/(R$20-M$20))-1,"n.a.")</f>
        <v/>
      </c>
    </row>
    <row r="28">
      <c r="D28" s="22" t="inlineStr">
        <is>
          <t>Less: Fixed cash lease outflow (IFRS 16 store rents)</t>
        </is>
      </c>
      <c r="J28" s="34" t="n">
        <v>-1621</v>
      </c>
      <c r="K28" s="34" t="n">
        <v>-1733</v>
      </c>
      <c r="L28" s="34" t="n">
        <v>-1802</v>
      </c>
      <c r="M28" s="34" t="n">
        <v>-1834</v>
      </c>
      <c r="N28" s="35">
        <f>+M28*(1+N13)</f>
        <v/>
      </c>
      <c r="O28" s="35">
        <f>+N28*(1+O13)</f>
        <v/>
      </c>
      <c r="P28" s="35">
        <f>+O28*(1+P13)</f>
        <v/>
      </c>
      <c r="Q28" s="35">
        <f>+P28*(1+Q13)</f>
        <v/>
      </c>
      <c r="R28" s="35">
        <f>+Q28*(1+R13)</f>
        <v/>
      </c>
      <c r="U28" s="31">
        <f>+IFERROR((M28/J28)^(1/(M$20-J$20))-1,0)</f>
        <v/>
      </c>
      <c r="V28" s="31">
        <f>+IFERROR((R28/M28)^(1/(R$20-M$20))-1,"n.a.")</f>
        <v/>
      </c>
    </row>
    <row r="29">
      <c r="D29" s="36" t="inlineStr">
        <is>
          <t>Pre-IFRS 16 Cash EBITDA (100% Inditex)</t>
        </is>
      </c>
      <c r="E29" s="36" t="n"/>
      <c r="F29" s="36" t="n"/>
      <c r="G29" s="36" t="n"/>
      <c r="H29" s="36" t="n"/>
      <c r="I29" s="36" t="n"/>
      <c r="J29" s="37">
        <f>+J26+J28</f>
        <v/>
      </c>
      <c r="K29" s="37">
        <f>+K26+K28</f>
        <v/>
      </c>
      <c r="L29" s="37">
        <f>+L26+L28</f>
        <v/>
      </c>
      <c r="M29" s="37">
        <f>+M26+M28</f>
        <v/>
      </c>
      <c r="N29" s="37">
        <f>+N26+N28</f>
        <v/>
      </c>
      <c r="O29" s="37">
        <f>+O26+O28</f>
        <v/>
      </c>
      <c r="P29" s="37">
        <f>+P26+P28</f>
        <v/>
      </c>
      <c r="Q29" s="37">
        <f>+Q26+Q28</f>
        <v/>
      </c>
      <c r="R29" s="37">
        <f>+R26+R28</f>
        <v/>
      </c>
      <c r="S29" s="36" t="n"/>
      <c r="T29" s="36" t="n"/>
      <c r="U29" s="38">
        <f>+IFERROR((M29/J29)^(1/(M$20-J$20))-1,0)</f>
        <v/>
      </c>
      <c r="V29" s="38">
        <f>+IFERROR((R29/M29)^(1/(R$20-M$20))-1,"n.a.")</f>
        <v/>
      </c>
    </row>
    <row r="30">
      <c r="D30" s="32" t="inlineStr">
        <is>
          <t>% margin (Pre-IFRS 16)</t>
        </is>
      </c>
      <c r="J30" s="33">
        <f>+IFERROR(J29/J$21,0)</f>
        <v/>
      </c>
      <c r="K30" s="33">
        <f>+IFERROR(K29/K$21,0)</f>
        <v/>
      </c>
      <c r="L30" s="33">
        <f>+IFERROR(L29/L$21,0)</f>
        <v/>
      </c>
      <c r="M30" s="33">
        <f>+IFERROR(M29/M$21,0)</f>
        <v/>
      </c>
      <c r="N30" s="33">
        <f>+IFERROR(N29/N$21,0)</f>
        <v/>
      </c>
      <c r="O30" s="33">
        <f>+IFERROR(O29/O$21,0)</f>
        <v/>
      </c>
      <c r="P30" s="33">
        <f>+IFERROR(P29/P$21,0)</f>
        <v/>
      </c>
      <c r="Q30" s="33">
        <f>+IFERROR(Q29/Q$21,0)</f>
        <v/>
      </c>
      <c r="R30" s="33">
        <f>+IFERROR(R29/R$21,0)</f>
        <v/>
      </c>
      <c r="U30" s="31">
        <f>+IFERROR((M30/J30)^(1/(M$20-J$20))-1,0)</f>
        <v/>
      </c>
      <c r="V30" s="31">
        <f>+IFERROR((R30/M30)^(1/(R$20-M$20))-1,"n.a.")</f>
        <v/>
      </c>
    </row>
    <row r="31">
      <c r="D31" s="22" t="inlineStr">
        <is>
          <t>D&amp;A (Owned PP&amp;E &amp; intangibles — 100% Inditex)</t>
        </is>
      </c>
      <c r="J31" s="30">
        <f>+J56</f>
        <v/>
      </c>
      <c r="K31" s="30">
        <f>+K56</f>
        <v/>
      </c>
      <c r="L31" s="30">
        <f>+L56</f>
        <v/>
      </c>
      <c r="M31" s="30">
        <f>+M56</f>
        <v/>
      </c>
      <c r="N31" s="30">
        <f>+N56</f>
        <v/>
      </c>
      <c r="O31" s="30">
        <f>+O56</f>
        <v/>
      </c>
      <c r="P31" s="30">
        <f>+P56</f>
        <v/>
      </c>
      <c r="Q31" s="30">
        <f>+Q56</f>
        <v/>
      </c>
      <c r="R31" s="30">
        <f>+R56</f>
        <v/>
      </c>
      <c r="U31" s="31">
        <f>+IFERROR((M31/J31)^(1/(M$20-J$20))-1,0)</f>
        <v/>
      </c>
      <c r="V31" s="31">
        <f>+IFERROR((R31/M31)^(1/(R$20-M$20))-1,"n.a.")</f>
        <v/>
      </c>
    </row>
    <row r="32">
      <c r="D32" s="18" t="inlineStr">
        <is>
          <t>Adj. EBIT (Pre-IFRS 16 — 100% Inditex)</t>
        </is>
      </c>
      <c r="E32" s="18" t="n"/>
      <c r="F32" s="18" t="n"/>
      <c r="G32" s="18" t="n"/>
      <c r="H32" s="18" t="n"/>
      <c r="I32" s="18" t="n"/>
      <c r="J32" s="28">
        <f>+J29+J31</f>
        <v/>
      </c>
      <c r="K32" s="28">
        <f>+K29+K31</f>
        <v/>
      </c>
      <c r="L32" s="28">
        <f>+L29+L31</f>
        <v/>
      </c>
      <c r="M32" s="28">
        <f>+M29+M31</f>
        <v/>
      </c>
      <c r="N32" s="28">
        <f>+N29+N31</f>
        <v/>
      </c>
      <c r="O32" s="28">
        <f>+O29+O31</f>
        <v/>
      </c>
      <c r="P32" s="28">
        <f>+P29+P31</f>
        <v/>
      </c>
      <c r="Q32" s="28">
        <f>+Q29+Q31</f>
        <v/>
      </c>
      <c r="R32" s="28">
        <f>+R29+R31</f>
        <v/>
      </c>
      <c r="S32" s="18" t="n"/>
      <c r="T32" s="18" t="n"/>
      <c r="U32" s="29">
        <f>+IFERROR((M32/J32)^(1/(M$20-J$20))-1,0)</f>
        <v/>
      </c>
      <c r="V32" s="29">
        <f>+IFERROR((R32/M32)^(1/(R$20-M$20))-1,"n.a.")</f>
        <v/>
      </c>
    </row>
    <row r="33">
      <c r="D33" s="32" t="inlineStr">
        <is>
          <t>Attributable Adj. EBIT (% Stake Acquired)</t>
        </is>
      </c>
      <c r="F33" s="39">
        <f>+F168</f>
        <v/>
      </c>
      <c r="J33" s="40">
        <f>+J32*$F$168</f>
        <v/>
      </c>
      <c r="K33" s="40">
        <f>+K32*$F$168</f>
        <v/>
      </c>
      <c r="L33" s="40">
        <f>+L32*$F$168</f>
        <v/>
      </c>
      <c r="M33" s="40">
        <f>+M32*$F$168</f>
        <v/>
      </c>
      <c r="N33" s="40">
        <f>+N32*$F$168</f>
        <v/>
      </c>
      <c r="O33" s="40">
        <f>+O32*$F$168</f>
        <v/>
      </c>
      <c r="P33" s="40">
        <f>+P32*$F$168</f>
        <v/>
      </c>
      <c r="Q33" s="40">
        <f>+Q32*$F$168</f>
        <v/>
      </c>
      <c r="R33" s="40">
        <f>+R32*$F$168</f>
        <v/>
      </c>
      <c r="U33" s="31">
        <f>+IFERROR((M33/J33)^(1/(M$20-J$20))-1,0)</f>
        <v/>
      </c>
      <c r="V33" s="31">
        <f>+IFERROR((R33/M33)^(1/(R$20-M$20))-1,"n.a.")</f>
        <v/>
      </c>
    </row>
    <row r="34">
      <c r="D34" s="22" t="inlineStr">
        <is>
          <t>Interests (Senior + Subordinated + Vendor Loan)</t>
        </is>
      </c>
      <c r="F34" s="39">
        <f>+F177</f>
        <v/>
      </c>
      <c r="J34" s="34" t="n">
        <v>-44.4</v>
      </c>
      <c r="K34" s="34" t="n">
        <v>39.2</v>
      </c>
      <c r="L34" s="34" t="n">
        <v>14.8</v>
      </c>
      <c r="M34" s="34" t="n">
        <v>14.8</v>
      </c>
      <c r="N34" s="30">
        <f>+N133</f>
        <v/>
      </c>
      <c r="O34" s="30">
        <f>+O133</f>
        <v/>
      </c>
      <c r="P34" s="30">
        <f>+P133</f>
        <v/>
      </c>
      <c r="Q34" s="30">
        <f>+Q133</f>
        <v/>
      </c>
      <c r="R34" s="30">
        <f>+R133</f>
        <v/>
      </c>
    </row>
    <row r="35">
      <c r="D35" s="41" t="inlineStr">
        <is>
          <t>EBT (Attributable to LBO Perimeter)</t>
        </is>
      </c>
      <c r="J35" s="42">
        <f>+J33+J34</f>
        <v/>
      </c>
      <c r="K35" s="42">
        <f>+K33+K34</f>
        <v/>
      </c>
      <c r="L35" s="42">
        <f>+L33+L34</f>
        <v/>
      </c>
      <c r="M35" s="42">
        <f>+M33+M34</f>
        <v/>
      </c>
      <c r="N35" s="42">
        <f>+N33+N34</f>
        <v/>
      </c>
      <c r="O35" s="42">
        <f>+O33+O34</f>
        <v/>
      </c>
      <c r="P35" s="42">
        <f>+P33+P34</f>
        <v/>
      </c>
      <c r="Q35" s="42">
        <f>+Q33+Q34</f>
        <v/>
      </c>
      <c r="R35" s="42">
        <f>+R33+R34</f>
        <v/>
      </c>
      <c r="U35" s="31">
        <f>+IFERROR((M35/J35)^(1/(M$20-J$20))-1,0)</f>
        <v/>
      </c>
      <c r="V35" s="31">
        <f>+IFERROR((R35/M35)^(1/(R$20-M$20))-1,"n.a.")</f>
        <v/>
      </c>
    </row>
    <row r="36">
      <c r="D36" s="22" t="inlineStr">
        <is>
          <t>Tax (Attributable to LBO Perimeter)</t>
        </is>
      </c>
      <c r="F36" s="43" t="n">
        <v>0.224</v>
      </c>
      <c r="J36" s="34" t="n">
        <v>-779.2</v>
      </c>
      <c r="K36" s="34" t="n">
        <v>-949.1</v>
      </c>
      <c r="L36" s="34" t="n">
        <v>-1093.9</v>
      </c>
      <c r="M36" s="34" t="n">
        <v>-1158.2</v>
      </c>
      <c r="N36" s="35">
        <f>+IF(N35&gt;0,-N35*$F$36,0)</f>
        <v/>
      </c>
      <c r="O36" s="35">
        <f>+IF(O35&gt;0,-O35*$F$36,0)</f>
        <v/>
      </c>
      <c r="P36" s="35">
        <f>+IF(P35&gt;0,-P35*$F$36,0)</f>
        <v/>
      </c>
      <c r="Q36" s="35">
        <f>+IF(Q35&gt;0,-Q35*$F$36,0)</f>
        <v/>
      </c>
      <c r="R36" s="35">
        <f>+IF(R35&gt;0,-R35*$F$36,0)</f>
        <v/>
      </c>
      <c r="U36" s="31">
        <f>+IFERROR((M36/J36)^(1/(M$20-J$20))-1,0)</f>
        <v/>
      </c>
      <c r="V36" s="31">
        <f>+IFERROR((R36/M36)^(1/(R$20-M$20))-1,"n.a.")</f>
        <v/>
      </c>
    </row>
    <row r="37">
      <c r="D37" s="36" t="inlineStr">
        <is>
          <t>Net income (Attributable to LBO Perimeter)</t>
        </is>
      </c>
      <c r="E37" s="36" t="n"/>
      <c r="F37" s="36" t="n"/>
      <c r="G37" s="36" t="n"/>
      <c r="H37" s="36" t="n"/>
      <c r="I37" s="36" t="n"/>
      <c r="J37" s="37">
        <f>+J35+J36</f>
        <v/>
      </c>
      <c r="K37" s="37">
        <f>+K35+K36</f>
        <v/>
      </c>
      <c r="L37" s="37">
        <f>+L35+L36</f>
        <v/>
      </c>
      <c r="M37" s="37">
        <f>+M35+M36</f>
        <v/>
      </c>
      <c r="N37" s="37">
        <f>+N35+N36</f>
        <v/>
      </c>
      <c r="O37" s="37">
        <f>+O35+O36</f>
        <v/>
      </c>
      <c r="P37" s="37">
        <f>+P35+P36</f>
        <v/>
      </c>
      <c r="Q37" s="37">
        <f>+Q35+Q36</f>
        <v/>
      </c>
      <c r="R37" s="37">
        <f>+R35+R36</f>
        <v/>
      </c>
      <c r="S37" s="36" t="n"/>
      <c r="T37" s="36" t="n"/>
      <c r="U37" s="38">
        <f>+IFERROR((M37/J37)^(1/(M$20-J$20))-1,0)</f>
        <v/>
      </c>
      <c r="V37" s="38">
        <f>+IFERROR((R37/M37)^(1/(R$20-M$20))-1,"n.a.")</f>
        <v/>
      </c>
    </row>
    <row r="40" ht="13.5" customHeight="1">
      <c r="B40" s="12" t="inlineStr">
        <is>
          <t>&gt;</t>
        </is>
      </c>
      <c r="C40" s="14" t="inlineStr">
        <is>
          <t>BS</t>
        </is>
      </c>
      <c r="D40" s="14" t="n"/>
      <c r="E40" s="14" t="n"/>
      <c r="F40" s="14" t="n"/>
      <c r="G40" s="14" t="n"/>
      <c r="H40" s="14" t="n"/>
      <c r="I40" s="14" t="n"/>
      <c r="J40" s="15" t="inlineStr">
        <is>
          <t>31-Jan</t>
        </is>
      </c>
      <c r="K40" s="15" t="inlineStr">
        <is>
          <t>31-Jan</t>
        </is>
      </c>
      <c r="L40" s="15" t="inlineStr">
        <is>
          <t>31-Jan</t>
        </is>
      </c>
      <c r="M40" s="15" t="inlineStr">
        <is>
          <t>31-Jan</t>
        </is>
      </c>
      <c r="N40" s="15" t="inlineStr">
        <is>
          <t>31-Jan</t>
        </is>
      </c>
      <c r="O40" s="15" t="inlineStr">
        <is>
          <t>31-Jan</t>
        </is>
      </c>
      <c r="P40" s="15" t="inlineStr">
        <is>
          <t>31-Jan</t>
        </is>
      </c>
      <c r="Q40" s="15" t="inlineStr">
        <is>
          <t>31-Jan</t>
        </is>
      </c>
      <c r="R40" s="15" t="inlineStr">
        <is>
          <t>31-Jan</t>
        </is>
      </c>
      <c r="S40" s="14" t="n"/>
      <c r="T40" s="14" t="n"/>
      <c r="U40" s="14" t="n"/>
      <c r="V40" s="14" t="n"/>
    </row>
    <row r="41" ht="13.5" customHeight="1">
      <c r="C41" s="14" t="inlineStr">
        <is>
          <t>€m</t>
        </is>
      </c>
      <c r="D41" s="14" t="n"/>
      <c r="E41" s="14" t="n"/>
      <c r="F41" s="14" t="n"/>
      <c r="G41" s="14" t="n"/>
      <c r="H41" s="14" t="n"/>
      <c r="I41" s="14" t="n"/>
      <c r="J41" s="16">
        <f>+J20</f>
        <v/>
      </c>
      <c r="K41" s="16">
        <f>+J41+1</f>
        <v/>
      </c>
      <c r="L41" s="16">
        <f>+K41+1</f>
        <v/>
      </c>
      <c r="M41" s="16">
        <f>+L41+1</f>
        <v/>
      </c>
      <c r="N41" s="17">
        <f>+M41+1</f>
        <v/>
      </c>
      <c r="O41" s="17">
        <f>+N41+1</f>
        <v/>
      </c>
      <c r="P41" s="17">
        <f>+O41+1</f>
        <v/>
      </c>
      <c r="Q41" s="17">
        <f>+P41+1</f>
        <v/>
      </c>
      <c r="R41" s="17">
        <f>+Q41+1</f>
        <v/>
      </c>
      <c r="S41" s="14" t="n"/>
      <c r="T41" s="14" t="n"/>
      <c r="U41" s="14" t="n"/>
      <c r="V41" s="14" t="n"/>
    </row>
    <row r="43">
      <c r="B43" s="9" t="n">
        <v>3</v>
      </c>
      <c r="C43" s="12" t="inlineStr">
        <is>
          <t>&gt;</t>
        </is>
      </c>
      <c r="D43" s="41" t="inlineStr">
        <is>
          <t>WK (Operating Working Capital — 100% Inditex)</t>
        </is>
      </c>
    </row>
    <row r="44">
      <c r="D44" s="22" t="inlineStr">
        <is>
          <t>Inventory</t>
        </is>
      </c>
      <c r="J44" s="34" t="n">
        <v>3191</v>
      </c>
      <c r="K44" s="34" t="n">
        <v>2966</v>
      </c>
      <c r="L44" s="34" t="n">
        <v>3321</v>
      </c>
      <c r="M44" s="34" t="n">
        <v>3249</v>
      </c>
      <c r="N44" s="35">
        <f>+N$21*N15</f>
        <v/>
      </c>
      <c r="O44" s="35">
        <f>+O$21*O15</f>
        <v/>
      </c>
      <c r="P44" s="35">
        <f>+P$21*P15</f>
        <v/>
      </c>
      <c r="Q44" s="35">
        <f>+Q$21*Q15</f>
        <v/>
      </c>
      <c r="R44" s="35">
        <f>+R$21*R15</f>
        <v/>
      </c>
    </row>
    <row r="45">
      <c r="D45" s="22" t="inlineStr">
        <is>
          <t>Receivables</t>
        </is>
      </c>
      <c r="J45" s="34" t="n">
        <v>851</v>
      </c>
      <c r="K45" s="34" t="n">
        <v>1038</v>
      </c>
      <c r="L45" s="34" t="n">
        <v>1088</v>
      </c>
      <c r="M45" s="34" t="n">
        <v>1166</v>
      </c>
      <c r="N45" s="35">
        <f>+N$21*N16</f>
        <v/>
      </c>
      <c r="O45" s="35">
        <f>+O$21*O16</f>
        <v/>
      </c>
      <c r="P45" s="35">
        <f>+P$21*P16</f>
        <v/>
      </c>
      <c r="Q45" s="35">
        <f>+Q$21*Q16</f>
        <v/>
      </c>
      <c r="R45" s="35">
        <f>+R$21*R16</f>
        <v/>
      </c>
    </row>
    <row r="46">
      <c r="D46" s="22" t="inlineStr">
        <is>
          <t>Payables</t>
        </is>
      </c>
      <c r="J46" s="34" t="n">
        <v>-6561</v>
      </c>
      <c r="K46" s="34" t="n">
        <v>-7467</v>
      </c>
      <c r="L46" s="34" t="n">
        <v>-8590</v>
      </c>
      <c r="M46" s="34" t="n">
        <v>-8587</v>
      </c>
      <c r="N46" s="35">
        <f>+N$21*N17</f>
        <v/>
      </c>
      <c r="O46" s="35">
        <f>+O$21*O17</f>
        <v/>
      </c>
      <c r="P46" s="35">
        <f>+P$21*P17</f>
        <v/>
      </c>
      <c r="Q46" s="35">
        <f>+Q$21*Q17</f>
        <v/>
      </c>
      <c r="R46" s="35">
        <f>+R$21*R17</f>
        <v/>
      </c>
    </row>
    <row r="47">
      <c r="D47" s="18" t="inlineStr">
        <is>
          <t>Total WK (EoP balance — 100% Inditex)</t>
        </is>
      </c>
      <c r="E47" s="18" t="n"/>
      <c r="F47" s="18" t="n"/>
      <c r="G47" s="18" t="n"/>
      <c r="H47" s="18" t="n"/>
      <c r="I47" s="18" t="n"/>
      <c r="J47" s="28">
        <f>+SUM(J44:J46)</f>
        <v/>
      </c>
      <c r="K47" s="28">
        <f>+SUM(K44:K46)</f>
        <v/>
      </c>
      <c r="L47" s="28">
        <f>+SUM(L44:L46)</f>
        <v/>
      </c>
      <c r="M47" s="28">
        <f>+SUM(M44:M46)</f>
        <v/>
      </c>
      <c r="N47" s="28">
        <f>+SUM(N44:N46)</f>
        <v/>
      </c>
      <c r="O47" s="28">
        <f>+SUM(O44:O46)</f>
        <v/>
      </c>
      <c r="P47" s="28">
        <f>+SUM(P44:P46)</f>
        <v/>
      </c>
      <c r="Q47" s="28">
        <f>+SUM(Q44:Q46)</f>
        <v/>
      </c>
      <c r="R47" s="28">
        <f>+SUM(R44:R46)</f>
        <v/>
      </c>
    </row>
    <row r="48">
      <c r="D48" s="32" t="inlineStr">
        <is>
          <t>WK % of revenues</t>
        </is>
      </c>
      <c r="J48" s="33">
        <f>+IFERROR(J47/J$21,0)</f>
        <v/>
      </c>
      <c r="K48" s="33">
        <f>+IFERROR(K47/K$21,0)</f>
        <v/>
      </c>
      <c r="L48" s="33">
        <f>+IFERROR(L47/L$21,0)</f>
        <v/>
      </c>
      <c r="M48" s="33">
        <f>+IFERROR(M47/M$21,0)</f>
        <v/>
      </c>
      <c r="N48" s="33">
        <f>+IFERROR(N47/N$21,0)</f>
        <v/>
      </c>
      <c r="O48" s="33">
        <f>+IFERROR(O47/O$21,0)</f>
        <v/>
      </c>
      <c r="P48" s="33">
        <f>+IFERROR(P47/P$21,0)</f>
        <v/>
      </c>
      <c r="Q48" s="33">
        <f>+IFERROR(Q47/Q$21,0)</f>
        <v/>
      </c>
      <c r="R48" s="33">
        <f>+IFERROR(R47/R$21,0)</f>
        <v/>
      </c>
    </row>
    <row r="49">
      <c r="D49" s="36" t="inlineStr">
        <is>
          <t>Cash flow from WK (-ΔWK — 100% Inditex)</t>
        </is>
      </c>
      <c r="E49" s="36" t="n"/>
      <c r="F49" s="36" t="n"/>
      <c r="G49" s="36" t="n"/>
      <c r="H49" s="36" t="n"/>
      <c r="I49" s="36" t="n"/>
      <c r="J49" s="44" t="n">
        <v>0</v>
      </c>
      <c r="K49" s="37">
        <f>+(J47-K47)</f>
        <v/>
      </c>
      <c r="L49" s="37">
        <f>+(K47-L47)</f>
        <v/>
      </c>
      <c r="M49" s="37">
        <f>+(L47-M47)</f>
        <v/>
      </c>
      <c r="N49" s="37">
        <f>+(M47-N47)</f>
        <v/>
      </c>
      <c r="O49" s="37">
        <f>+(N47-O47)</f>
        <v/>
      </c>
      <c r="P49" s="37">
        <f>+(O47-P47)</f>
        <v/>
      </c>
      <c r="Q49" s="37">
        <f>+(P47-Q47)</f>
        <v/>
      </c>
      <c r="R49" s="37">
        <f>+(Q47-R47)</f>
        <v/>
      </c>
    </row>
    <row r="52">
      <c r="B52" s="9" t="n">
        <v>4</v>
      </c>
      <c r="C52" s="12" t="inlineStr">
        <is>
          <t>&gt;</t>
        </is>
      </c>
      <c r="D52" s="41" t="inlineStr">
        <is>
          <t>Capex &amp; D&amp;A (Owned PP&amp;E + Intangibles — 100% Inditex)</t>
        </is>
      </c>
    </row>
    <row r="54">
      <c r="D54" s="22" t="inlineStr">
        <is>
          <t>BoP Net Fixed Assets</t>
        </is>
      </c>
      <c r="J54" s="34" t="n">
        <v>8383</v>
      </c>
      <c r="K54" s="35">
        <f>+J57</f>
        <v/>
      </c>
      <c r="L54" s="35">
        <f>+K57</f>
        <v/>
      </c>
      <c r="M54" s="35">
        <f>+L57</f>
        <v/>
      </c>
      <c r="N54" s="35">
        <f>+M57</f>
        <v/>
      </c>
      <c r="O54" s="35">
        <f>+N57</f>
        <v/>
      </c>
      <c r="P54" s="35">
        <f>+O57</f>
        <v/>
      </c>
      <c r="Q54" s="35">
        <f>+P57</f>
        <v/>
      </c>
      <c r="R54" s="35">
        <f>+Q57</f>
        <v/>
      </c>
    </row>
    <row r="55">
      <c r="D55" s="22" t="inlineStr">
        <is>
          <t>Capex</t>
        </is>
      </c>
      <c r="J55" s="30">
        <f>+J58</f>
        <v/>
      </c>
      <c r="K55" s="30">
        <f>+K58</f>
        <v/>
      </c>
      <c r="L55" s="30">
        <f>+L58</f>
        <v/>
      </c>
      <c r="M55" s="30">
        <f>+M58</f>
        <v/>
      </c>
      <c r="N55" s="30">
        <f>+N58</f>
        <v/>
      </c>
      <c r="O55" s="30">
        <f>+O58</f>
        <v/>
      </c>
      <c r="P55" s="30">
        <f>+P58</f>
        <v/>
      </c>
      <c r="Q55" s="30">
        <f>+Q58</f>
        <v/>
      </c>
      <c r="R55" s="30">
        <f>+R58</f>
        <v/>
      </c>
    </row>
    <row r="56">
      <c r="D56" s="22" t="inlineStr">
        <is>
          <t>D&amp;A</t>
        </is>
      </c>
      <c r="J56" s="34" t="n">
        <v>-1417</v>
      </c>
      <c r="K56" s="34" t="n">
        <v>-1558</v>
      </c>
      <c r="L56" s="34" t="n">
        <v>-1638</v>
      </c>
      <c r="M56" s="34" t="n">
        <v>-1674</v>
      </c>
      <c r="N56" s="35">
        <f>+N62+N73</f>
        <v/>
      </c>
      <c r="O56" s="35">
        <f>+O62+O73</f>
        <v/>
      </c>
      <c r="P56" s="35">
        <f>+P62+P73</f>
        <v/>
      </c>
      <c r="Q56" s="35">
        <f>+Q62+Q73</f>
        <v/>
      </c>
      <c r="R56" s="35">
        <f>+R62+R73</f>
        <v/>
      </c>
    </row>
    <row r="57">
      <c r="D57" s="36" t="inlineStr">
        <is>
          <t>EoP Net Fixed Assets</t>
        </is>
      </c>
      <c r="E57" s="36" t="n"/>
      <c r="F57" s="36" t="n"/>
      <c r="G57" s="36" t="n"/>
      <c r="H57" s="36" t="n"/>
      <c r="I57" s="36" t="n"/>
      <c r="J57" s="45" t="n">
        <v>8401</v>
      </c>
      <c r="K57" s="45" t="n">
        <v>9560</v>
      </c>
      <c r="L57" s="45" t="n">
        <v>11416</v>
      </c>
      <c r="M57" s="45" t="n">
        <v>12778</v>
      </c>
      <c r="N57" s="37">
        <f>+N54+N55+N56</f>
        <v/>
      </c>
      <c r="O57" s="37">
        <f>+O54+O55+O56</f>
        <v/>
      </c>
      <c r="P57" s="37">
        <f>+P54+P55+P56</f>
        <v/>
      </c>
      <c r="Q57" s="37">
        <f>+Q54+Q55+Q56</f>
        <v/>
      </c>
      <c r="R57" s="37">
        <f>+R54+R55+R56</f>
        <v/>
      </c>
    </row>
    <row r="58">
      <c r="D58" s="46" t="inlineStr">
        <is>
          <t>Capex (Ordinary + Logistics — 100% Inditex)</t>
        </is>
      </c>
      <c r="E58" s="46" t="n"/>
      <c r="F58" s="46" t="n"/>
      <c r="G58" s="46" t="n"/>
      <c r="H58" s="46" t="n"/>
      <c r="I58" s="46" t="n"/>
      <c r="J58" s="47" t="n">
        <v>1415</v>
      </c>
      <c r="K58" s="47" t="n">
        <v>1872</v>
      </c>
      <c r="L58" s="47" t="n">
        <v>2672</v>
      </c>
      <c r="M58" s="47" t="n">
        <v>2712</v>
      </c>
      <c r="N58" s="48">
        <f>+N21*N14</f>
        <v/>
      </c>
      <c r="O58" s="48">
        <f>+O21*O14</f>
        <v/>
      </c>
      <c r="P58" s="48">
        <f>+P21*P14</f>
        <v/>
      </c>
      <c r="Q58" s="48">
        <f>+Q21*Q14</f>
        <v/>
      </c>
      <c r="R58" s="48">
        <f>+R21*R14</f>
        <v/>
      </c>
    </row>
    <row r="60">
      <c r="D60" s="41" t="inlineStr">
        <is>
          <t>Existing fixed assets D&amp;A</t>
        </is>
      </c>
    </row>
    <row r="61">
      <c r="D61" s="22" t="inlineStr">
        <is>
          <t>BoP existing net assets</t>
        </is>
      </c>
      <c r="N61" s="35">
        <f>+M63</f>
        <v/>
      </c>
      <c r="O61" s="35">
        <f>+N63</f>
        <v/>
      </c>
      <c r="P61" s="35">
        <f>+O63</f>
        <v/>
      </c>
      <c r="Q61" s="35">
        <f>+P63</f>
        <v/>
      </c>
      <c r="R61" s="35">
        <f>+Q63</f>
        <v/>
      </c>
    </row>
    <row r="62">
      <c r="D62" s="22" t="inlineStr">
        <is>
          <t>D&amp;A of existing assets</t>
        </is>
      </c>
      <c r="N62" s="35">
        <f>-MIN(N61,$M$63/$E$65)</f>
        <v/>
      </c>
      <c r="O62" s="35">
        <f>-MIN(O61,$M$63/$E$65)</f>
        <v/>
      </c>
      <c r="P62" s="35">
        <f>-MIN(P61,$M$63/$E$65)</f>
        <v/>
      </c>
      <c r="Q62" s="35">
        <f>-MIN(Q61,$M$63/$E$65)</f>
        <v/>
      </c>
      <c r="R62" s="35">
        <f>-MIN(R61,$M$63/$E$65)</f>
        <v/>
      </c>
    </row>
    <row r="63">
      <c r="D63" s="41" t="inlineStr">
        <is>
          <t>EoP existing net assets</t>
        </is>
      </c>
      <c r="M63" s="42">
        <f>+M57</f>
        <v/>
      </c>
      <c r="N63" s="42">
        <f>+N61+N62</f>
        <v/>
      </c>
      <c r="O63" s="42">
        <f>+O61+O62</f>
        <v/>
      </c>
      <c r="P63" s="42">
        <f>+P61+P62</f>
        <v/>
      </c>
      <c r="Q63" s="42">
        <f>+Q61+Q62</f>
        <v/>
      </c>
      <c r="R63" s="42">
        <f>+R61+R62</f>
        <v/>
      </c>
    </row>
    <row r="65">
      <c r="D65" s="22" t="inlineStr">
        <is>
          <t>Asset lifetime (years)</t>
        </is>
      </c>
      <c r="E65" s="49" t="n">
        <v>10</v>
      </c>
    </row>
    <row r="66">
      <c r="D66" s="22" t="inlineStr">
        <is>
          <t>First period D&amp;A impact</t>
        </is>
      </c>
      <c r="E66" s="43" t="n">
        <v>0.5</v>
      </c>
    </row>
    <row r="67">
      <c r="G67" s="41" t="inlineStr">
        <is>
          <t>Vintage</t>
        </is>
      </c>
      <c r="H67" s="50" t="inlineStr">
        <is>
          <t>Capex (€m)</t>
        </is>
      </c>
    </row>
    <row r="68">
      <c r="G68" s="51">
        <f>+N$20</f>
        <v/>
      </c>
      <c r="H68" s="30">
        <f>+N$58</f>
        <v/>
      </c>
      <c r="N68" s="35">
        <f>-(($H68/$E$65*$E$66))</f>
        <v/>
      </c>
      <c r="O68" s="35">
        <f>-(MIN(SUM($H68,$N68:N68),$H68/$E$65))</f>
        <v/>
      </c>
      <c r="P68" s="35">
        <f>-(MIN(SUM($H68,$N68:O68),$H68/$E$65))</f>
        <v/>
      </c>
      <c r="Q68" s="35">
        <f>-(MIN(SUM($H68,$N68:P68),$H68/$E$65))</f>
        <v/>
      </c>
      <c r="R68" s="35">
        <f>-(MIN(SUM($H68,$N68:Q68),$H68/$E$65))</f>
        <v/>
      </c>
    </row>
    <row r="69">
      <c r="G69" s="51">
        <f>+O$20</f>
        <v/>
      </c>
      <c r="H69" s="30">
        <f>+O$58</f>
        <v/>
      </c>
      <c r="N69" s="35" t="n">
        <v>0</v>
      </c>
      <c r="O69" s="35">
        <f>-(($H69/$E$65*$E$66))</f>
        <v/>
      </c>
      <c r="P69" s="35">
        <f>-(MIN(SUM($H69,$O69:O69),$H69/$E$65))</f>
        <v/>
      </c>
      <c r="Q69" s="35">
        <f>-(MIN(SUM($H69,$O69:P69),$H69/$E$65))</f>
        <v/>
      </c>
      <c r="R69" s="35">
        <f>-(MIN(SUM($H69,$O69:Q69),$H69/$E$65))</f>
        <v/>
      </c>
    </row>
    <row r="70">
      <c r="G70" s="51">
        <f>+P$20</f>
        <v/>
      </c>
      <c r="H70" s="30">
        <f>+P$58</f>
        <v/>
      </c>
      <c r="N70" s="35" t="n">
        <v>0</v>
      </c>
      <c r="O70" s="35" t="n">
        <v>0</v>
      </c>
      <c r="P70" s="35">
        <f>-(($H70/$E$65*$E$66))</f>
        <v/>
      </c>
      <c r="Q70" s="35">
        <f>-(MIN(SUM($H70,$P70:P70),$H70/$E$65))</f>
        <v/>
      </c>
      <c r="R70" s="35">
        <f>-(MIN(SUM($H70,$P70:Q70),$H70/$E$65))</f>
        <v/>
      </c>
    </row>
    <row r="71">
      <c r="G71" s="51">
        <f>+Q$20</f>
        <v/>
      </c>
      <c r="H71" s="30">
        <f>+Q$58</f>
        <v/>
      </c>
      <c r="N71" s="35" t="n">
        <v>0</v>
      </c>
      <c r="O71" s="35" t="n">
        <v>0</v>
      </c>
      <c r="P71" s="35" t="n">
        <v>0</v>
      </c>
      <c r="Q71" s="35">
        <f>-(($H71/$E$65*$E$66))</f>
        <v/>
      </c>
      <c r="R71" s="35">
        <f>-(MIN(SUM($H71,$Q71:Q71),$H71/$E$65))</f>
        <v/>
      </c>
    </row>
    <row r="72">
      <c r="G72" s="51">
        <f>+R$20</f>
        <v/>
      </c>
      <c r="H72" s="30">
        <f>+R$58</f>
        <v/>
      </c>
      <c r="N72" s="35" t="n">
        <v>0</v>
      </c>
      <c r="O72" s="35" t="n">
        <v>0</v>
      </c>
      <c r="P72" s="35" t="n">
        <v>0</v>
      </c>
      <c r="Q72" s="35" t="n">
        <v>0</v>
      </c>
      <c r="R72" s="35">
        <f>-(($H72/$E$65*$E$66))</f>
        <v/>
      </c>
    </row>
    <row r="73">
      <c r="G73" s="18" t="inlineStr">
        <is>
          <t>Total new capex D&amp;A</t>
        </is>
      </c>
      <c r="H73" s="18" t="n"/>
      <c r="I73" s="18" t="n"/>
      <c r="J73" s="18" t="n"/>
      <c r="K73" s="18" t="n"/>
      <c r="L73" s="18" t="n"/>
      <c r="M73" s="18" t="n"/>
      <c r="N73" s="28">
        <f>SUM(N68:N72)</f>
        <v/>
      </c>
      <c r="O73" s="28">
        <f>SUM(O68:O72)</f>
        <v/>
      </c>
      <c r="P73" s="28">
        <f>SUM(P68:P72)</f>
        <v/>
      </c>
      <c r="Q73" s="28">
        <f>SUM(Q68:Q72)</f>
        <v/>
      </c>
      <c r="R73" s="28">
        <f>SUM(R68:R72)</f>
        <v/>
      </c>
    </row>
    <row r="76">
      <c r="B76" s="9" t="n">
        <v>5</v>
      </c>
      <c r="C76" s="12" t="inlineStr">
        <is>
          <t>&gt;</t>
        </is>
      </c>
      <c r="D76" s="14" t="inlineStr">
        <is>
          <t>Debt Schedule (Senior TLA, Senior TLB, Subordinated Debt, Ortega Vendor Loan &amp; RCF)</t>
        </is>
      </c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</row>
    <row r="78">
      <c r="D78" s="41" t="inlineStr">
        <is>
          <t>1A. Senior Term Loan A (TLA — Amortising)</t>
        </is>
      </c>
    </row>
    <row r="79">
      <c r="D79" s="22" t="inlineStr">
        <is>
          <t>BoP TLA</t>
        </is>
      </c>
      <c r="M79" s="52" t="n">
        <v>0</v>
      </c>
      <c r="N79" s="35">
        <f>+M82</f>
        <v/>
      </c>
      <c r="O79" s="35">
        <f>+N82</f>
        <v/>
      </c>
      <c r="P79" s="35">
        <f>+O82</f>
        <v/>
      </c>
      <c r="Q79" s="35">
        <f>+P82</f>
        <v/>
      </c>
      <c r="R79" s="35">
        <f>+Q82</f>
        <v/>
      </c>
    </row>
    <row r="80">
      <c r="D80" s="22" t="inlineStr">
        <is>
          <t>Initial draw / increase</t>
        </is>
      </c>
      <c r="M80" s="30">
        <f>+E190</f>
        <v/>
      </c>
      <c r="N80" s="35" t="n">
        <v>0</v>
      </c>
      <c r="O80" s="35" t="n">
        <v>0</v>
      </c>
      <c r="P80" s="35" t="n">
        <v>0</v>
      </c>
      <c r="Q80" s="35" t="n">
        <v>0</v>
      </c>
      <c r="R80" s="35" t="n">
        <v>0</v>
      </c>
    </row>
    <row r="81">
      <c r="D81" s="22" t="inlineStr">
        <is>
          <t>Scheduled repayment</t>
        </is>
      </c>
      <c r="M81" s="52" t="n">
        <v>0</v>
      </c>
      <c r="N81" s="35">
        <f>-MIN(N79,$M$82*N$83)</f>
        <v/>
      </c>
      <c r="O81" s="35">
        <f>-MIN(O79,$M$82*O$83)</f>
        <v/>
      </c>
      <c r="P81" s="35">
        <f>-MIN(P79,$M$82*P$83)</f>
        <v/>
      </c>
      <c r="Q81" s="35">
        <f>-MIN(Q79,$M$82*Q$83)</f>
        <v/>
      </c>
      <c r="R81" s="35">
        <f>-MIN(R79,$M$82*R$83)</f>
        <v/>
      </c>
      <c r="T81" s="40">
        <f>+SUM(N81:R81)+M82</f>
        <v/>
      </c>
    </row>
    <row r="82">
      <c r="D82" s="18" t="inlineStr">
        <is>
          <t>EoP TLA</t>
        </is>
      </c>
      <c r="E82" s="18" t="n"/>
      <c r="F82" s="18" t="n"/>
      <c r="G82" s="18" t="n"/>
      <c r="H82" s="18" t="n"/>
      <c r="I82" s="18" t="n"/>
      <c r="J82" s="18" t="n"/>
      <c r="K82" s="18" t="n"/>
      <c r="L82" s="18" t="n"/>
      <c r="M82" s="28">
        <f>+SUM(M79:M81)</f>
        <v/>
      </c>
      <c r="N82" s="28">
        <f>+SUM(N79:N81)</f>
        <v/>
      </c>
      <c r="O82" s="28">
        <f>+SUM(O79:O81)</f>
        <v/>
      </c>
      <c r="P82" s="28">
        <f>+SUM(P79:P81)</f>
        <v/>
      </c>
      <c r="Q82" s="28">
        <f>+SUM(Q79:Q81)</f>
        <v/>
      </c>
      <c r="R82" s="28">
        <f>+SUM(R79:R81)</f>
        <v/>
      </c>
    </row>
    <row r="83">
      <c r="D83" s="32" t="inlineStr">
        <is>
          <t>TLA scheduled amortisation %</t>
        </is>
      </c>
      <c r="N83" s="53" t="n">
        <v>0.1</v>
      </c>
      <c r="O83" s="53" t="n">
        <v>0.15</v>
      </c>
      <c r="P83" s="53" t="n">
        <v>0.2</v>
      </c>
      <c r="Q83" s="53" t="n">
        <v>0.25</v>
      </c>
      <c r="R83" s="54">
        <f>1-SUM(N83:Q83)</f>
        <v/>
      </c>
      <c r="T83" s="33">
        <f>+SUM(N83:R83)-1</f>
        <v/>
      </c>
    </row>
    <row r="84">
      <c r="D84" s="22" t="inlineStr">
        <is>
          <t>TLA cash interest</t>
        </is>
      </c>
      <c r="N84" s="35">
        <f>-$F$178*AVERAGE(N79,N82)</f>
        <v/>
      </c>
      <c r="O84" s="35">
        <f>-$F$178*AVERAGE(O79,O82)</f>
        <v/>
      </c>
      <c r="P84" s="35">
        <f>-$F$178*AVERAGE(P79,P82)</f>
        <v/>
      </c>
      <c r="Q84" s="35">
        <f>-$F$178*AVERAGE(Q79,Q82)</f>
        <v/>
      </c>
      <c r="R84" s="35">
        <f>-$F$178*AVERAGE(R79,R82)</f>
        <v/>
      </c>
    </row>
    <row r="86">
      <c r="D86" s="41" t="inlineStr">
        <is>
          <t>1B. Senior Term Loan B (TLB — Bullet / Optional Cash Sweep)</t>
        </is>
      </c>
    </row>
    <row r="87">
      <c r="D87" s="22" t="inlineStr">
        <is>
          <t>BoP TLB</t>
        </is>
      </c>
      <c r="M87" s="52" t="n">
        <v>0</v>
      </c>
      <c r="N87" s="35">
        <f>+M92</f>
        <v/>
      </c>
      <c r="O87" s="35">
        <f>+N92</f>
        <v/>
      </c>
      <c r="P87" s="35">
        <f>+O92</f>
        <v/>
      </c>
      <c r="Q87" s="35">
        <f>+P92</f>
        <v/>
      </c>
      <c r="R87" s="35">
        <f>+Q92</f>
        <v/>
      </c>
    </row>
    <row r="88">
      <c r="D88" s="22" t="inlineStr">
        <is>
          <t>Initial draw / increase</t>
        </is>
      </c>
      <c r="M88" s="30">
        <f>+E191</f>
        <v/>
      </c>
      <c r="N88" s="35" t="n">
        <v>0</v>
      </c>
      <c r="O88" s="35" t="n">
        <v>0</v>
      </c>
      <c r="P88" s="35" t="n">
        <v>0</v>
      </c>
      <c r="Q88" s="35" t="n">
        <v>0</v>
      </c>
      <c r="R88" s="35" t="n">
        <v>0</v>
      </c>
    </row>
    <row r="89">
      <c r="D89" s="22" t="inlineStr">
        <is>
          <t>Mandatory amortisation (% in F182)</t>
        </is>
      </c>
      <c r="M89" s="52" t="n">
        <v>0</v>
      </c>
      <c r="N89" s="35">
        <f>-MIN(N87,$M$92*N$93)</f>
        <v/>
      </c>
      <c r="O89" s="35">
        <f>-MIN(O87,$M$92*O$93)</f>
        <v/>
      </c>
      <c r="P89" s="35">
        <f>-MIN(P87,$M$92*P$93)</f>
        <v/>
      </c>
      <c r="Q89" s="35">
        <f>-MIN(Q87,$M$92*Q$93)</f>
        <v/>
      </c>
      <c r="R89" s="35">
        <f>-MIN(R87,$M$92*R$93)</f>
        <v/>
      </c>
    </row>
    <row r="90">
      <c r="D90" s="32" t="inlineStr">
        <is>
          <t>TLB balance before optional cash sweep</t>
        </is>
      </c>
      <c r="M90" s="52">
        <f>+M87+M88+M89</f>
        <v/>
      </c>
      <c r="N90" s="40">
        <f>+SUM(N87:N89)</f>
        <v/>
      </c>
      <c r="O90" s="40">
        <f>+SUM(O87:O89)</f>
        <v/>
      </c>
      <c r="P90" s="40">
        <f>+SUM(P87:P89)</f>
        <v/>
      </c>
      <c r="Q90" s="40">
        <f>+SUM(Q87:Q89)</f>
        <v/>
      </c>
      <c r="R90" s="40">
        <f>+SUM(R87:R89)</f>
        <v/>
      </c>
    </row>
    <row r="91">
      <c r="D91" s="22" t="inlineStr">
        <is>
          <t>Optional cash sweep repayment (% in F183)</t>
        </is>
      </c>
      <c r="M91" s="52" t="n">
        <v>0</v>
      </c>
      <c r="N91" s="35">
        <f>-MIN(N90,MAX(0,N150+N151)*$F$183)</f>
        <v/>
      </c>
      <c r="O91" s="35">
        <f>-MIN(O90,MAX(0,O150+O151)*$F$183)</f>
        <v/>
      </c>
      <c r="P91" s="35">
        <f>-MIN(P90,MAX(0,P150+P151)*$F$183)</f>
        <v/>
      </c>
      <c r="Q91" s="35">
        <f>-MIN(Q90,MAX(0,Q150+Q151)*$F$183)</f>
        <v/>
      </c>
      <c r="R91" s="35">
        <f>-MIN(R90,MAX(0,R150+R151)*$F$183)</f>
        <v/>
      </c>
    </row>
    <row r="92">
      <c r="D92" s="18" t="inlineStr">
        <is>
          <t>EoP TLB</t>
        </is>
      </c>
      <c r="E92" s="18" t="n"/>
      <c r="F92" s="18" t="n"/>
      <c r="G92" s="18" t="n"/>
      <c r="H92" s="18" t="n"/>
      <c r="I92" s="18" t="n"/>
      <c r="J92" s="18" t="n"/>
      <c r="K92" s="18" t="n"/>
      <c r="L92" s="18" t="n"/>
      <c r="M92" s="28">
        <f>+M90+M91</f>
        <v/>
      </c>
      <c r="N92" s="28">
        <f>+N90+N91</f>
        <v/>
      </c>
      <c r="O92" s="28">
        <f>+O90+O91</f>
        <v/>
      </c>
      <c r="P92" s="28">
        <f>+P90+P91</f>
        <v/>
      </c>
      <c r="Q92" s="28">
        <f>+Q90+Q91</f>
        <v/>
      </c>
      <c r="R92" s="28">
        <f>+R90+R91</f>
        <v/>
      </c>
    </row>
    <row r="93">
      <c r="D93" s="32" t="inlineStr">
        <is>
          <t>TLB mandatory amortisation %</t>
        </is>
      </c>
      <c r="N93" s="55">
        <f>+$F$182</f>
        <v/>
      </c>
      <c r="O93" s="55">
        <f>+$F$182</f>
        <v/>
      </c>
      <c r="P93" s="55">
        <f>+$F$182</f>
        <v/>
      </c>
      <c r="Q93" s="55">
        <f>+$F$182</f>
        <v/>
      </c>
      <c r="R93" s="55">
        <f>+$F$182</f>
        <v/>
      </c>
    </row>
    <row r="94">
      <c r="D94" s="22" t="inlineStr">
        <is>
          <t>TLB cash interest</t>
        </is>
      </c>
      <c r="N94" s="35">
        <f>-$F$179*AVERAGE(N87,N90)</f>
        <v/>
      </c>
      <c r="O94" s="35">
        <f>-$F$179*AVERAGE(O87,O90)</f>
        <v/>
      </c>
      <c r="P94" s="35">
        <f>-$F$179*AVERAGE(P87,P90)</f>
        <v/>
      </c>
      <c r="Q94" s="35">
        <f>-$F$179*AVERAGE(Q87,Q90)</f>
        <v/>
      </c>
      <c r="R94" s="35">
        <f>-$F$179*AVERAGE(R87,R90)</f>
        <v/>
      </c>
    </row>
    <row r="96">
      <c r="D96" s="41" t="inlineStr">
        <is>
          <t>2. Subordinated / Mezzanine Debt (Bullet — Cash or PIK Switch)</t>
        </is>
      </c>
    </row>
    <row r="97">
      <c r="D97" s="22" t="inlineStr">
        <is>
          <t>BoP Subordinated debt</t>
        </is>
      </c>
      <c r="M97" s="52" t="n">
        <v>0</v>
      </c>
      <c r="N97" s="35">
        <f>+M101</f>
        <v/>
      </c>
      <c r="O97" s="35">
        <f>+N101</f>
        <v/>
      </c>
      <c r="P97" s="35">
        <f>+O101</f>
        <v/>
      </c>
      <c r="Q97" s="35">
        <f>+P101</f>
        <v/>
      </c>
      <c r="R97" s="35">
        <f>+Q101</f>
        <v/>
      </c>
    </row>
    <row r="98">
      <c r="D98" s="22" t="inlineStr">
        <is>
          <t>Initial draw / increase</t>
        </is>
      </c>
      <c r="M98" s="30">
        <f>+E192</f>
        <v/>
      </c>
      <c r="N98" s="35" t="n">
        <v>0</v>
      </c>
      <c r="O98" s="35" t="n">
        <v>0</v>
      </c>
      <c r="P98" s="35" t="n">
        <v>0</v>
      </c>
      <c r="Q98" s="35" t="n">
        <v>0</v>
      </c>
      <c r="R98" s="35" t="n">
        <v>0</v>
      </c>
    </row>
    <row r="99">
      <c r="D99" s="22" t="inlineStr">
        <is>
          <t>PIK interest capitalised (if I180 = 1)</t>
        </is>
      </c>
      <c r="M99" s="52" t="n">
        <v>0</v>
      </c>
      <c r="N99" s="35">
        <f>+IF($I$180=1,N97*$F$180,0)</f>
        <v/>
      </c>
      <c r="O99" s="35">
        <f>+IF($I$180=1,O97*$F$180,0)</f>
        <v/>
      </c>
      <c r="P99" s="35">
        <f>+IF($I$180=1,P97*$F$180,0)</f>
        <v/>
      </c>
      <c r="Q99" s="35">
        <f>+IF($I$180=1,Q97*$F$180,0)</f>
        <v/>
      </c>
      <c r="R99" s="35">
        <f>+IF($I$180=1,R97*$F$180,0)</f>
        <v/>
      </c>
    </row>
    <row r="100">
      <c r="D100" s="22" t="inlineStr">
        <is>
          <t>Scheduled repayment (Bullet at maturity)</t>
        </is>
      </c>
      <c r="M100" s="52" t="n">
        <v>0</v>
      </c>
      <c r="N100" s="35" t="n">
        <v>0</v>
      </c>
      <c r="O100" s="35" t="n">
        <v>0</v>
      </c>
      <c r="P100" s="35" t="n">
        <v>0</v>
      </c>
      <c r="Q100" s="35" t="n">
        <v>0</v>
      </c>
      <c r="R100" s="35" t="n">
        <v>0</v>
      </c>
    </row>
    <row r="101">
      <c r="D101" s="18" t="inlineStr">
        <is>
          <t>EoP Subordinated debt</t>
        </is>
      </c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28">
        <f>+SUM(M97:M100)</f>
        <v/>
      </c>
      <c r="N101" s="28">
        <f>+SUM(N97:N100)</f>
        <v/>
      </c>
      <c r="O101" s="28">
        <f>+SUM(O97:O100)</f>
        <v/>
      </c>
      <c r="P101" s="28">
        <f>+SUM(P97:P100)</f>
        <v/>
      </c>
      <c r="Q101" s="28">
        <f>+SUM(Q97:Q100)</f>
        <v/>
      </c>
      <c r="R101" s="28">
        <f>+SUM(R97:R100)</f>
        <v/>
      </c>
    </row>
    <row r="102">
      <c r="D102" s="22" t="inlineStr">
        <is>
          <t>Subordinated cash interest (if I180 = 0)</t>
        </is>
      </c>
      <c r="N102" s="35">
        <f>+IF($I$180=0,-N97*$F$180,0)</f>
        <v/>
      </c>
      <c r="O102" s="35">
        <f>+IF($I$180=0,-O97*$F$180,0)</f>
        <v/>
      </c>
      <c r="P102" s="35">
        <f>+IF($I$180=0,-P97*$F$180,0)</f>
        <v/>
      </c>
      <c r="Q102" s="35">
        <f>+IF($I$180=0,-Q97*$F$180,0)</f>
        <v/>
      </c>
      <c r="R102" s="35">
        <f>+IF($I$180=0,-R97*$F$180,0)</f>
        <v/>
      </c>
    </row>
    <row r="103">
      <c r="D103" s="32" t="inlineStr">
        <is>
          <t>Subordinated total interest (for P&amp;L tax shield)</t>
        </is>
      </c>
      <c r="N103" s="40">
        <f>-N97*$F$180</f>
        <v/>
      </c>
      <c r="O103" s="40">
        <f>-O97*$F$180</f>
        <v/>
      </c>
      <c r="P103" s="40">
        <f>-P97*$F$180</f>
        <v/>
      </c>
      <c r="Q103" s="40">
        <f>-Q97*$F$180</f>
        <v/>
      </c>
      <c r="R103" s="40">
        <f>-R97*$F$180</f>
        <v/>
      </c>
    </row>
    <row r="105">
      <c r="D105" s="41" t="inlineStr">
        <is>
          <t>3. Ortega Family Vendor Loan (Pontegadea — Cash or PIK Switch)</t>
        </is>
      </c>
    </row>
    <row r="106">
      <c r="D106" s="22" t="inlineStr">
        <is>
          <t>BoP Vendor Loan</t>
        </is>
      </c>
      <c r="M106" s="52" t="n">
        <v>0</v>
      </c>
      <c r="N106" s="35">
        <f>+M110</f>
        <v/>
      </c>
      <c r="O106" s="35">
        <f>+N110</f>
        <v/>
      </c>
      <c r="P106" s="35">
        <f>+O110</f>
        <v/>
      </c>
      <c r="Q106" s="35">
        <f>+P110</f>
        <v/>
      </c>
      <c r="R106" s="35">
        <f>+Q110</f>
        <v/>
      </c>
    </row>
    <row r="107">
      <c r="D107" s="22" t="inlineStr">
        <is>
          <t>Initial draw / increase</t>
        </is>
      </c>
      <c r="M107" s="30">
        <f>+E193</f>
        <v/>
      </c>
      <c r="N107" s="35" t="n">
        <v>0</v>
      </c>
      <c r="O107" s="35" t="n">
        <v>0</v>
      </c>
      <c r="P107" s="35" t="n">
        <v>0</v>
      </c>
      <c r="Q107" s="35" t="n">
        <v>0</v>
      </c>
      <c r="R107" s="35" t="n">
        <v>0</v>
      </c>
    </row>
    <row r="108">
      <c r="D108" s="22" t="inlineStr">
        <is>
          <t>PIK interest capitalised (if I181 = 1)</t>
        </is>
      </c>
      <c r="M108" s="52" t="n">
        <v>0</v>
      </c>
      <c r="N108" s="35">
        <f>+IF($I$181=1,N106*$F$181,0)</f>
        <v/>
      </c>
      <c r="O108" s="35">
        <f>+IF($I$181=1,O106*$F$181,0)</f>
        <v/>
      </c>
      <c r="P108" s="35">
        <f>+IF($I$181=1,P106*$F$181,0)</f>
        <v/>
      </c>
      <c r="Q108" s="35">
        <f>+IF($I$181=1,Q106*$F$181,0)</f>
        <v/>
      </c>
      <c r="R108" s="35">
        <f>+IF($I$181=1,R106*$F$181,0)</f>
        <v/>
      </c>
    </row>
    <row r="109">
      <c r="D109" s="22" t="inlineStr">
        <is>
          <t>Scheduled repayment (Bullet at exit)</t>
        </is>
      </c>
      <c r="M109" s="52" t="n">
        <v>0</v>
      </c>
      <c r="N109" s="35" t="n">
        <v>0</v>
      </c>
      <c r="O109" s="35" t="n">
        <v>0</v>
      </c>
      <c r="P109" s="35" t="n">
        <v>0</v>
      </c>
      <c r="Q109" s="35" t="n">
        <v>0</v>
      </c>
      <c r="R109" s="35" t="n">
        <v>0</v>
      </c>
    </row>
    <row r="110">
      <c r="D110" s="18" t="inlineStr">
        <is>
          <t>EoP Vendor Loan</t>
        </is>
      </c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28">
        <f>+SUM(M106:M109)</f>
        <v/>
      </c>
      <c r="N110" s="28">
        <f>+SUM(N106:N109)</f>
        <v/>
      </c>
      <c r="O110" s="28">
        <f>+SUM(O106:O109)</f>
        <v/>
      </c>
      <c r="P110" s="28">
        <f>+SUM(P106:P109)</f>
        <v/>
      </c>
      <c r="Q110" s="28">
        <f>+SUM(Q106:Q109)</f>
        <v/>
      </c>
      <c r="R110" s="28">
        <f>+SUM(R106:R109)</f>
        <v/>
      </c>
    </row>
    <row r="111">
      <c r="D111" s="22" t="inlineStr">
        <is>
          <t>Vendor Loan cash interest (if I181 = 0)</t>
        </is>
      </c>
      <c r="N111" s="35">
        <f>+IF($I$181=0,-N106*$F$181,0)</f>
        <v/>
      </c>
      <c r="O111" s="35">
        <f>+IF($I$181=0,-O106*$F$181,0)</f>
        <v/>
      </c>
      <c r="P111" s="35">
        <f>+IF($I$181=0,-P106*$F$181,0)</f>
        <v/>
      </c>
      <c r="Q111" s="35">
        <f>+IF($I$181=0,-Q106*$F$181,0)</f>
        <v/>
      </c>
      <c r="R111" s="35">
        <f>+IF($I$181=0,-R106*$F$181,0)</f>
        <v/>
      </c>
    </row>
    <row r="112">
      <c r="D112" s="32" t="inlineStr">
        <is>
          <t>Vendor Loan total interest (for P&amp;L tax shield)</t>
        </is>
      </c>
      <c r="N112" s="40">
        <f>-N106*$F$181</f>
        <v/>
      </c>
      <c r="O112" s="40">
        <f>-O106*$F$181</f>
        <v/>
      </c>
      <c r="P112" s="40">
        <f>-P106*$F$181</f>
        <v/>
      </c>
      <c r="Q112" s="40">
        <f>-Q106*$F$181</f>
        <v/>
      </c>
      <c r="R112" s="40">
        <f>-R106*$F$181</f>
        <v/>
      </c>
    </row>
    <row r="114">
      <c r="D114" s="41" t="inlineStr">
        <is>
          <t>4. Revolving Credit Facility (RCF — Liquidity Line)</t>
        </is>
      </c>
    </row>
    <row r="115">
      <c r="D115" s="22" t="inlineStr">
        <is>
          <t>BoP RCF drawn</t>
        </is>
      </c>
      <c r="M115" s="52" t="n">
        <v>0</v>
      </c>
      <c r="N115" s="35">
        <f>+M117</f>
        <v/>
      </c>
      <c r="O115" s="35">
        <f>+N117</f>
        <v/>
      </c>
      <c r="P115" s="35">
        <f>+O117</f>
        <v/>
      </c>
      <c r="Q115" s="35">
        <f>+P117</f>
        <v/>
      </c>
      <c r="R115" s="35">
        <f>+Q117</f>
        <v/>
      </c>
    </row>
    <row r="116">
      <c r="D116" s="22" t="inlineStr">
        <is>
          <t>RCF draw / (repayment)</t>
        </is>
      </c>
      <c r="M116" s="30">
        <f>+E194</f>
        <v/>
      </c>
      <c r="N116" s="35">
        <f>+IF(N150&lt;0,MIN($F$184-N115,-N150),-MIN(N115,N150))</f>
        <v/>
      </c>
      <c r="O116" s="35">
        <f>+IF(O150&lt;0,MIN($F$184-O115,-O150),-MIN(O115,O150))</f>
        <v/>
      </c>
      <c r="P116" s="35">
        <f>+IF(P150&lt;0,MIN($F$184-P115,-P150),-MIN(P115,P150))</f>
        <v/>
      </c>
      <c r="Q116" s="35">
        <f>+IF(Q150&lt;0,MIN($F$184-Q115,-Q150),-MIN(Q115,Q150))</f>
        <v/>
      </c>
      <c r="R116" s="35">
        <f>+IF(R150&lt;0,MIN($F$184-R115,-R150),-MIN(R115,R150))</f>
        <v/>
      </c>
    </row>
    <row r="117">
      <c r="D117" s="18" t="inlineStr">
        <is>
          <t>EoP RCF drawn</t>
        </is>
      </c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28">
        <f>+M115+M116</f>
        <v/>
      </c>
      <c r="N117" s="28">
        <f>+N115+N116</f>
        <v/>
      </c>
      <c r="O117" s="28">
        <f>+O115+O116</f>
        <v/>
      </c>
      <c r="P117" s="28">
        <f>+P115+P116</f>
        <v/>
      </c>
      <c r="Q117" s="28">
        <f>+Q115+Q116</f>
        <v/>
      </c>
      <c r="R117" s="28">
        <f>+R115+R116</f>
        <v/>
      </c>
    </row>
    <row r="118">
      <c r="D118" s="32" t="inlineStr">
        <is>
          <t>Undrawn RCF available</t>
        </is>
      </c>
      <c r="M118" s="40">
        <f>+$F$184-M117</f>
        <v/>
      </c>
      <c r="N118" s="40">
        <f>+MAX(0,$F$184-N117)</f>
        <v/>
      </c>
      <c r="O118" s="40">
        <f>+MAX(0,$F$184-O117)</f>
        <v/>
      </c>
      <c r="P118" s="40">
        <f>+MAX(0,$F$184-P117)</f>
        <v/>
      </c>
      <c r="Q118" s="40">
        <f>+MAX(0,$F$184-Q117)</f>
        <v/>
      </c>
      <c r="R118" s="40">
        <f>+MAX(0,$F$184-R117)</f>
        <v/>
      </c>
    </row>
    <row r="119">
      <c r="D119" s="22" t="inlineStr">
        <is>
          <t>RCF interest &amp; commitment fee</t>
        </is>
      </c>
      <c r="N119" s="35">
        <f>-(N115*$F$185+MAX(0,$F$184-N115)*$F$186)</f>
        <v/>
      </c>
      <c r="O119" s="35">
        <f>-(O115*$F$185+MAX(0,$F$184-O115)*$F$186)</f>
        <v/>
      </c>
      <c r="P119" s="35">
        <f>-(P115*$F$185+MAX(0,$F$184-P115)*$F$186)</f>
        <v/>
      </c>
      <c r="Q119" s="35">
        <f>-(Q115*$F$185+MAX(0,$F$184-Q115)*$F$186)</f>
        <v/>
      </c>
      <c r="R119" s="35">
        <f>-(R115*$F$185+MAX(0,$F$184-R115)*$F$186)</f>
        <v/>
      </c>
    </row>
    <row r="126">
      <c r="D126" s="41" t="inlineStr">
        <is>
          <t>Total LBO Debt Summary (Attributable Perimeter)</t>
        </is>
      </c>
    </row>
    <row r="127">
      <c r="D127" s="22" t="inlineStr">
        <is>
          <t>BoP total debt (incl. Vendor Loan)</t>
        </is>
      </c>
      <c r="M127" s="52" t="n">
        <v>0</v>
      </c>
      <c r="N127" s="35">
        <f>+N79+N87+N97+N106+N115</f>
        <v/>
      </c>
      <c r="O127" s="35">
        <f>+O79+O87+O97+O106+O115</f>
        <v/>
      </c>
      <c r="P127" s="35">
        <f>+P79+P87+P97+P106+P115</f>
        <v/>
      </c>
      <c r="Q127" s="35">
        <f>+Q79+Q87+Q97+Q106+Q115</f>
        <v/>
      </c>
      <c r="R127" s="35">
        <f>+R79+R87+R97+R106+R115</f>
        <v/>
      </c>
    </row>
    <row r="128">
      <c r="D128" s="22" t="inlineStr">
        <is>
          <t>Mandatory debt service (TLA + TLB)</t>
        </is>
      </c>
      <c r="M128" s="52">
        <f>+M80+M88+M98+M107+M116</f>
        <v/>
      </c>
      <c r="N128" s="35">
        <f>+N81+N89</f>
        <v/>
      </c>
      <c r="O128" s="35">
        <f>+O81+O89</f>
        <v/>
      </c>
      <c r="P128" s="35">
        <f>+P81+P89</f>
        <v/>
      </c>
      <c r="Q128" s="35">
        <f>+Q81+Q89</f>
        <v/>
      </c>
      <c r="R128" s="35">
        <f>+R81+R89</f>
        <v/>
      </c>
    </row>
    <row r="129">
      <c r="D129" s="22" t="inlineStr">
        <is>
          <t>Optional TLB sweep &amp; RCF net change</t>
        </is>
      </c>
      <c r="M129" s="52" t="n">
        <v>0</v>
      </c>
      <c r="N129" s="35">
        <f>+N91+N116</f>
        <v/>
      </c>
      <c r="O129" s="35">
        <f>+O91+O116</f>
        <v/>
      </c>
      <c r="P129" s="35">
        <f>+P91+P116</f>
        <v/>
      </c>
      <c r="Q129" s="35">
        <f>+Q91+Q116</f>
        <v/>
      </c>
      <c r="R129" s="35">
        <f>+R91+R116</f>
        <v/>
      </c>
    </row>
    <row r="130">
      <c r="D130" s="22" t="inlineStr">
        <is>
          <t>PIK interest capitalised (Subordinated + Vendor Loan)</t>
        </is>
      </c>
      <c r="M130" s="52" t="n">
        <v>0</v>
      </c>
      <c r="N130" s="35">
        <f>+N99+N108</f>
        <v/>
      </c>
      <c r="O130" s="35">
        <f>+O99+O108</f>
        <v/>
      </c>
      <c r="P130" s="35">
        <f>+P99+P108</f>
        <v/>
      </c>
      <c r="Q130" s="35">
        <f>+Q99+Q108</f>
        <v/>
      </c>
      <c r="R130" s="35">
        <f>+R99+R108</f>
        <v/>
      </c>
    </row>
    <row r="131">
      <c r="D131" s="36" t="inlineStr">
        <is>
          <t>EoP total financial debt (incl. Vendor Loan)</t>
        </is>
      </c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7">
        <f>+M82+M92+M101+M110+M117</f>
        <v/>
      </c>
      <c r="N131" s="37">
        <f>+N82+N92+N101+N110+N117</f>
        <v/>
      </c>
      <c r="O131" s="37">
        <f>+O82+O92+O101+O110+O117</f>
        <v/>
      </c>
      <c r="P131" s="37">
        <f>+P82+P92+P101+P110+P117</f>
        <v/>
      </c>
      <c r="Q131" s="37">
        <f>+Q82+Q92+Q101+Q110+Q117</f>
        <v/>
      </c>
      <c r="R131" s="37">
        <f>+R82+R92+R101+R110+R117</f>
        <v/>
      </c>
    </row>
    <row r="132">
      <c r="D132" s="41" t="inlineStr">
        <is>
          <t>Total cash interest &amp; commitment fees (CF outflow)</t>
        </is>
      </c>
      <c r="N132" s="42">
        <f>+N84+N94+N102+N111+N119</f>
        <v/>
      </c>
      <c r="O132" s="42">
        <f>+O84+O94+O102+O111+O119</f>
        <v/>
      </c>
      <c r="P132" s="42">
        <f>+P84+P94+P102+P111+P119</f>
        <v/>
      </c>
      <c r="Q132" s="42">
        <f>+Q84+Q94+Q102+Q111+Q119</f>
        <v/>
      </c>
      <c r="R132" s="42">
        <f>+R84+R94+R102+R111+R119</f>
        <v/>
      </c>
    </row>
    <row r="133">
      <c r="D133" s="32" t="inlineStr">
        <is>
          <t>Total P&amp;L interest expense (Cash + PIK)</t>
        </is>
      </c>
      <c r="N133" s="40">
        <f>+N84+N94+N103+N112+N119</f>
        <v/>
      </c>
      <c r="O133" s="40">
        <f>+O84+O94+O103+O112+O119</f>
        <v/>
      </c>
      <c r="P133" s="40">
        <f>+P84+P94+P103+P112+P119</f>
        <v/>
      </c>
      <c r="Q133" s="40">
        <f>+Q84+Q94+Q103+Q112+Q119</f>
        <v/>
      </c>
      <c r="R133" s="40">
        <f>+R84+R94+R103+R112+R119</f>
        <v/>
      </c>
    </row>
    <row r="134">
      <c r="D134" s="32" t="inlineStr">
        <is>
          <t>Senior Net Debt / Attributable EBITDA (x)</t>
        </is>
      </c>
      <c r="M134" s="56">
        <f>+(M82+M92+M117-M157)/(M29*$F$168)</f>
        <v/>
      </c>
      <c r="N134" s="56">
        <f>+(N82+N92+N117-N157)/(N29*$F$168)</f>
        <v/>
      </c>
      <c r="O134" s="56">
        <f>+(O82+O92+O117-O157)/(O29*$F$168)</f>
        <v/>
      </c>
      <c r="P134" s="56">
        <f>+(P82+P92+P117-P157)/(P29*$F$168)</f>
        <v/>
      </c>
      <c r="Q134" s="56">
        <f>+(Q82+Q92+Q117-Q157)/(Q29*$F$168)</f>
        <v/>
      </c>
      <c r="R134" s="56">
        <f>+(R82+R92+R117-R157)/(R29*$F$168)</f>
        <v/>
      </c>
    </row>
    <row r="135">
      <c r="D135" s="32" t="inlineStr">
        <is>
          <t>Total Net Debt / Attributable EBITDA (x)</t>
        </is>
      </c>
      <c r="M135" s="56">
        <f>+(M131-M157)/(M29*$F$168)</f>
        <v/>
      </c>
      <c r="N135" s="56">
        <f>+(N131-N157)/(N29*$F$168)</f>
        <v/>
      </c>
      <c r="O135" s="56">
        <f>+(O131-O157)/(O29*$F$168)</f>
        <v/>
      </c>
      <c r="P135" s="56">
        <f>+(P131-P157)/(P29*$F$168)</f>
        <v/>
      </c>
      <c r="Q135" s="56">
        <f>+(Q131-Q157)/(Q29*$F$168)</f>
        <v/>
      </c>
      <c r="R135" s="56">
        <f>+(R131-R157)/(R29*$F$168)</f>
        <v/>
      </c>
    </row>
    <row r="138" ht="13.5" customHeight="1">
      <c r="B138" s="12" t="inlineStr">
        <is>
          <t>&gt;</t>
        </is>
      </c>
      <c r="C138" s="14" t="inlineStr">
        <is>
          <t>CF</t>
        </is>
      </c>
      <c r="D138" s="14" t="n"/>
      <c r="E138" s="14" t="n"/>
      <c r="F138" s="14" t="n"/>
      <c r="G138" s="14" t="n"/>
      <c r="H138" s="14" t="n"/>
      <c r="I138" s="14" t="n"/>
      <c r="J138" s="15" t="inlineStr">
        <is>
          <t>31-Jan</t>
        </is>
      </c>
      <c r="K138" s="15" t="inlineStr">
        <is>
          <t>31-Jan</t>
        </is>
      </c>
      <c r="L138" s="15" t="inlineStr">
        <is>
          <t>31-Jan</t>
        </is>
      </c>
      <c r="M138" s="15" t="inlineStr">
        <is>
          <t>31-Jan</t>
        </is>
      </c>
      <c r="N138" s="15" t="inlineStr">
        <is>
          <t>31-Jan</t>
        </is>
      </c>
      <c r="O138" s="15" t="inlineStr">
        <is>
          <t>31-Jan</t>
        </is>
      </c>
      <c r="P138" s="15" t="inlineStr">
        <is>
          <t>31-Jan</t>
        </is>
      </c>
      <c r="Q138" s="15" t="inlineStr">
        <is>
          <t>31-Jan</t>
        </is>
      </c>
      <c r="R138" s="15" t="inlineStr">
        <is>
          <t>31-Jan</t>
        </is>
      </c>
      <c r="S138" s="14" t="n"/>
      <c r="T138" s="14" t="n"/>
      <c r="U138" s="14" t="n"/>
      <c r="V138" s="14" t="n"/>
    </row>
    <row r="139" ht="13.5" customHeight="1">
      <c r="C139" s="14" t="inlineStr">
        <is>
          <t>€m</t>
        </is>
      </c>
      <c r="D139" s="14" t="n"/>
      <c r="E139" s="14" t="n"/>
      <c r="F139" s="14" t="n"/>
      <c r="G139" s="14" t="n"/>
      <c r="H139" s="14" t="n"/>
      <c r="I139" s="14" t="n"/>
      <c r="J139" s="16">
        <f>+J20</f>
        <v/>
      </c>
      <c r="K139" s="16">
        <f>+J139+1</f>
        <v/>
      </c>
      <c r="L139" s="16">
        <f>+K139+1</f>
        <v/>
      </c>
      <c r="M139" s="16">
        <f>+L139+1</f>
        <v/>
      </c>
      <c r="N139" s="17">
        <f>+M139+1</f>
        <v/>
      </c>
      <c r="O139" s="17">
        <f>+N139+1</f>
        <v/>
      </c>
      <c r="P139" s="17">
        <f>+O139+1</f>
        <v/>
      </c>
      <c r="Q139" s="17">
        <f>+P139+1</f>
        <v/>
      </c>
      <c r="R139" s="17">
        <f>+Q139+1</f>
        <v/>
      </c>
      <c r="S139" s="14" t="n"/>
      <c r="T139" s="14" t="n"/>
      <c r="U139" s="14" t="n"/>
      <c r="V139" s="14" t="n"/>
    </row>
    <row r="141">
      <c r="D141" s="41" t="inlineStr">
        <is>
          <t>Attributable Pre-IFRS 16 Cash EBITDA (% Stake Acquired)</t>
        </is>
      </c>
      <c r="J141" s="42">
        <f>+J29*$F$168</f>
        <v/>
      </c>
      <c r="K141" s="42">
        <f>+K29*$F$168</f>
        <v/>
      </c>
      <c r="L141" s="42">
        <f>+L29*$F$168</f>
        <v/>
      </c>
      <c r="M141" s="42">
        <f>+M29*$F$168</f>
        <v/>
      </c>
      <c r="N141" s="42">
        <f>+N29*$F$168</f>
        <v/>
      </c>
      <c r="O141" s="42">
        <f>+O29*$F$168</f>
        <v/>
      </c>
      <c r="P141" s="42">
        <f>+P29*$F$168</f>
        <v/>
      </c>
      <c r="Q141" s="42">
        <f>+Q29*$F$168</f>
        <v/>
      </c>
      <c r="R141" s="42">
        <f>+R29*$F$168</f>
        <v/>
      </c>
    </row>
    <row r="142">
      <c r="D142" s="22" t="inlineStr">
        <is>
          <t>Taxes (Attributable to LBO Perimeter)</t>
        </is>
      </c>
      <c r="J142" s="52">
        <f>+J36</f>
        <v/>
      </c>
      <c r="K142" s="52">
        <f>+K36</f>
        <v/>
      </c>
      <c r="L142" s="52">
        <f>+L36</f>
        <v/>
      </c>
      <c r="M142" s="52">
        <f>+M36</f>
        <v/>
      </c>
      <c r="N142" s="35">
        <f>+N36</f>
        <v/>
      </c>
      <c r="O142" s="35">
        <f>+O36</f>
        <v/>
      </c>
      <c r="P142" s="35">
        <f>+P36</f>
        <v/>
      </c>
      <c r="Q142" s="35">
        <f>+Q36</f>
        <v/>
      </c>
      <c r="R142" s="35">
        <f>+R36</f>
        <v/>
      </c>
    </row>
    <row r="143">
      <c r="D143" s="22" t="inlineStr">
        <is>
          <t>Attributable Wk cash flow (% Stake Acquired)</t>
        </is>
      </c>
      <c r="J143" s="52">
        <f>+J49*$F$168</f>
        <v/>
      </c>
      <c r="K143" s="52">
        <f>+K49*$F$168</f>
        <v/>
      </c>
      <c r="L143" s="52">
        <f>+L49*$F$168</f>
        <v/>
      </c>
      <c r="M143" s="52">
        <f>+M49*$F$168</f>
        <v/>
      </c>
      <c r="N143" s="35">
        <f>+N49*$F$168</f>
        <v/>
      </c>
      <c r="O143" s="35">
        <f>+O49*$F$168</f>
        <v/>
      </c>
      <c r="P143" s="35">
        <f>+P49*$F$168</f>
        <v/>
      </c>
      <c r="Q143" s="35">
        <f>+Q49*$F$168</f>
        <v/>
      </c>
      <c r="R143" s="35">
        <f>+R49*$F$168</f>
        <v/>
      </c>
    </row>
    <row r="144">
      <c r="D144" s="22" t="inlineStr">
        <is>
          <t>Attributable Capex (% Stake Acquired)</t>
        </is>
      </c>
      <c r="J144" s="52">
        <f>-J55*$F$168</f>
        <v/>
      </c>
      <c r="K144" s="52">
        <f>-K55*$F$168</f>
        <v/>
      </c>
      <c r="L144" s="52">
        <f>-L55*$F$168</f>
        <v/>
      </c>
      <c r="M144" s="52">
        <f>-M55*$F$168</f>
        <v/>
      </c>
      <c r="N144" s="35">
        <f>-N55*$F$168</f>
        <v/>
      </c>
      <c r="O144" s="35">
        <f>-O55*$F$168</f>
        <v/>
      </c>
      <c r="P144" s="35">
        <f>-P55*$F$168</f>
        <v/>
      </c>
      <c r="Q144" s="35">
        <f>-Q55*$F$168</f>
        <v/>
      </c>
      <c r="R144" s="35">
        <f>-R55*$F$168</f>
        <v/>
      </c>
    </row>
    <row r="145">
      <c r="D145" s="18" t="inlineStr">
        <is>
          <t>CF for debt service (Attributable CFADS)</t>
        </is>
      </c>
      <c r="E145" s="18" t="n"/>
      <c r="F145" s="18" t="n"/>
      <c r="G145" s="18" t="n"/>
      <c r="H145" s="18" t="n"/>
      <c r="I145" s="18" t="n"/>
      <c r="J145" s="28">
        <f>+SUM(J141:J144)</f>
        <v/>
      </c>
      <c r="K145" s="28">
        <f>+SUM(K141:K144)</f>
        <v/>
      </c>
      <c r="L145" s="28">
        <f>+SUM(L141:L144)</f>
        <v/>
      </c>
      <c r="M145" s="28">
        <f>+SUM(M141:M144)</f>
        <v/>
      </c>
      <c r="N145" s="28">
        <f>+SUM(N141:N144)</f>
        <v/>
      </c>
      <c r="O145" s="28">
        <f>+SUM(O141:O144)</f>
        <v/>
      </c>
      <c r="P145" s="28">
        <f>+SUM(P141:P144)</f>
        <v/>
      </c>
      <c r="Q145" s="28">
        <f>+SUM(Q141:Q144)</f>
        <v/>
      </c>
      <c r="R145" s="28">
        <f>+SUM(R141:R144)</f>
        <v/>
      </c>
    </row>
    <row r="147">
      <c r="D147" s="22" t="inlineStr">
        <is>
          <t>Cash interests &amp; commitment fees</t>
        </is>
      </c>
      <c r="N147" s="35">
        <f>+N132</f>
        <v/>
      </c>
      <c r="O147" s="35">
        <f>+O132</f>
        <v/>
      </c>
      <c r="P147" s="35">
        <f>+P132</f>
        <v/>
      </c>
      <c r="Q147" s="35">
        <f>+Q132</f>
        <v/>
      </c>
      <c r="R147" s="35">
        <f>+R132</f>
        <v/>
      </c>
    </row>
    <row r="148">
      <c r="D148" s="22" t="inlineStr">
        <is>
          <t>Mandatory debt repayment (TLA + TLB)</t>
        </is>
      </c>
      <c r="N148" s="35">
        <f>+N128</f>
        <v/>
      </c>
      <c r="O148" s="35">
        <f>+O128</f>
        <v/>
      </c>
      <c r="P148" s="35">
        <f>+P128</f>
        <v/>
      </c>
      <c r="Q148" s="35">
        <f>+Q128</f>
        <v/>
      </c>
      <c r="R148" s="35">
        <f>+R128</f>
        <v/>
      </c>
    </row>
    <row r="149">
      <c r="D149" s="18" t="inlineStr">
        <is>
          <t>FCF after mandatory debt service</t>
        </is>
      </c>
      <c r="E149" s="18" t="n"/>
      <c r="F149" s="18" t="n"/>
      <c r="G149" s="18" t="n"/>
      <c r="H149" s="18" t="n"/>
      <c r="I149" s="18" t="n"/>
      <c r="J149" s="18" t="n"/>
      <c r="K149" s="18" t="n"/>
      <c r="L149" s="18" t="n"/>
      <c r="M149" s="18" t="n"/>
      <c r="N149" s="28">
        <f>+N145+N147+N148</f>
        <v/>
      </c>
      <c r="O149" s="28">
        <f>+O145+O147+O148</f>
        <v/>
      </c>
      <c r="P149" s="28">
        <f>+P145+P147+P148</f>
        <v/>
      </c>
      <c r="Q149" s="28">
        <f>+Q145+Q147+Q148</f>
        <v/>
      </c>
      <c r="R149" s="28">
        <f>+R145+R147+R148</f>
        <v/>
      </c>
    </row>
    <row r="150">
      <c r="D150" s="32" t="inlineStr">
        <is>
          <t>Excess cash before RCF &amp; sweep (above min cash)</t>
        </is>
      </c>
      <c r="N150" s="40">
        <f>+(N156-$F$171*$F$168)+N149</f>
        <v/>
      </c>
      <c r="O150" s="40">
        <f>+(O156-$F$171*$F$168)+O149</f>
        <v/>
      </c>
      <c r="P150" s="40">
        <f>+(P156-$F$171*$F$168)+P149</f>
        <v/>
      </c>
      <c r="Q150" s="40">
        <f>+(Q156-$F$171*$F$168)+Q149</f>
        <v/>
      </c>
      <c r="R150" s="40">
        <f>+(R156-$F$171*$F$168)+R149</f>
        <v/>
      </c>
    </row>
    <row r="151">
      <c r="D151" s="22" t="inlineStr">
        <is>
          <t>RCF draw / (repayment)</t>
        </is>
      </c>
      <c r="N151" s="35">
        <f>+N116</f>
        <v/>
      </c>
      <c r="O151" s="35">
        <f>+O116</f>
        <v/>
      </c>
      <c r="P151" s="35">
        <f>+P116</f>
        <v/>
      </c>
      <c r="Q151" s="35">
        <f>+Q116</f>
        <v/>
      </c>
      <c r="R151" s="35">
        <f>+R116</f>
        <v/>
      </c>
    </row>
    <row r="152">
      <c r="D152" s="22" t="inlineStr">
        <is>
          <t>Optional TLB cash sweep</t>
        </is>
      </c>
      <c r="N152" s="35">
        <f>+N91</f>
        <v/>
      </c>
      <c r="O152" s="35">
        <f>+O91</f>
        <v/>
      </c>
      <c r="P152" s="35">
        <f>+P91</f>
        <v/>
      </c>
      <c r="Q152" s="35">
        <f>+Q91</f>
        <v/>
      </c>
      <c r="R152" s="35">
        <f>+R91</f>
        <v/>
      </c>
    </row>
    <row r="153">
      <c r="D153" s="22" t="inlineStr">
        <is>
          <t>Dividends to Sponsor</t>
        </is>
      </c>
      <c r="N153" s="34" t="n">
        <v>0</v>
      </c>
      <c r="O153" s="34" t="n">
        <v>0</v>
      </c>
      <c r="P153" s="34" t="n">
        <v>0</v>
      </c>
      <c r="Q153" s="34" t="n">
        <v>0</v>
      </c>
      <c r="R153" s="34" t="n">
        <v>0</v>
      </c>
    </row>
    <row r="154">
      <c r="D154" s="18" t="inlineStr">
        <is>
          <t>Total CF (Net change in attributable cash)</t>
        </is>
      </c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28">
        <f>+N149+SUM(N151:N153)</f>
        <v/>
      </c>
      <c r="O154" s="28">
        <f>+O149+SUM(O151:O153)</f>
        <v/>
      </c>
      <c r="P154" s="28">
        <f>+P149+SUM(P151:P153)</f>
        <v/>
      </c>
      <c r="Q154" s="28">
        <f>+Q149+SUM(Q151:Q153)</f>
        <v/>
      </c>
      <c r="R154" s="28">
        <f>+R149+SUM(R151:R153)</f>
        <v/>
      </c>
    </row>
    <row r="156">
      <c r="D156" s="22" t="inlineStr">
        <is>
          <t>BoP attributable cash</t>
        </is>
      </c>
      <c r="M156" s="30">
        <f>+F171*F168</f>
        <v/>
      </c>
      <c r="N156" s="35">
        <f>+M157</f>
        <v/>
      </c>
      <c r="O156" s="35">
        <f>+N157</f>
        <v/>
      </c>
      <c r="P156" s="35">
        <f>+O157</f>
        <v/>
      </c>
      <c r="Q156" s="35">
        <f>+P157</f>
        <v/>
      </c>
      <c r="R156" s="35">
        <f>+Q157</f>
        <v/>
      </c>
    </row>
    <row r="157">
      <c r="D157" s="36" t="inlineStr">
        <is>
          <t>EoP attributable cash</t>
        </is>
      </c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7">
        <f>+M156</f>
        <v/>
      </c>
      <c r="N157" s="37">
        <f>+N156+N154</f>
        <v/>
      </c>
      <c r="O157" s="37">
        <f>+O156+O154</f>
        <v/>
      </c>
      <c r="P157" s="37">
        <f>+P156+P154</f>
        <v/>
      </c>
      <c r="Q157" s="37">
        <f>+Q156+Q154</f>
        <v/>
      </c>
      <c r="R157" s="37">
        <f>+R156+R154</f>
        <v/>
      </c>
    </row>
    <row r="160" ht="15.75" customHeight="1">
      <c r="A160" s="12" t="inlineStr">
        <is>
          <t>&gt;</t>
        </is>
      </c>
      <c r="B160" s="12" t="inlineStr">
        <is>
          <t>&gt;</t>
        </is>
      </c>
      <c r="C160" s="13" t="inlineStr">
        <is>
          <t>LBO (Ortega Block Control Buyout: Senior + Subordinated + Vendor Loan)</t>
        </is>
      </c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</row>
    <row r="162">
      <c r="B162" s="12" t="inlineStr">
        <is>
          <t>&gt;</t>
        </is>
      </c>
      <c r="C162" s="14" t="inlineStr">
        <is>
          <t>LBO Assumptions &amp; Adjustable Acquisition Perimeter</t>
        </is>
      </c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</row>
    <row r="163">
      <c r="B163" s="9" t="n">
        <v>6</v>
      </c>
      <c r="D163" s="41" t="inlineStr">
        <is>
          <t>100% Inditex FY25A Pre-IFRS 16 Cash EBITDA (€m)</t>
        </is>
      </c>
      <c r="F163" s="57">
        <f>+M29</f>
        <v/>
      </c>
      <c r="H163" s="41" t="inlineStr">
        <is>
          <t>Implied 100% Offer Enterprise Value (€m)</t>
        </is>
      </c>
      <c r="K163" s="57">
        <f>+F166*F167-F172</f>
        <v/>
      </c>
    </row>
    <row r="164">
      <c r="D164" s="22" t="inlineStr">
        <is>
          <t>Current undisturbed share price (€/sh)</t>
        </is>
      </c>
      <c r="F164" s="58" t="n">
        <v>55.42</v>
      </c>
      <c r="H164" s="41" t="inlineStr">
        <is>
          <t>Implied Entry EV / Pre-IFRS 16 EBITDA</t>
        </is>
      </c>
      <c r="K164" s="59">
        <f>+K163/F163</f>
        <v/>
      </c>
    </row>
    <row r="165">
      <c r="D165" s="41" t="inlineStr">
        <is>
          <t>Offer premium / (block discount) (%)</t>
        </is>
      </c>
      <c r="F165" s="60" t="n">
        <v>0.05</v>
      </c>
      <c r="H165" s="22" t="inlineStr">
        <is>
          <t>Implied Entry EV / Reported Post-IFRS 16 EBITDA</t>
        </is>
      </c>
      <c r="K165" s="61">
        <f>+K163/M26</f>
        <v/>
      </c>
    </row>
    <row r="166">
      <c r="D166" s="41" t="inlineStr">
        <is>
          <t>Acquisition price per share (€/sh)</t>
        </is>
      </c>
      <c r="F166" s="62">
        <f>+F164*(1+F165)</f>
        <v/>
      </c>
      <c r="H166" s="41" t="inlineStr">
        <is>
          <t>Exit year (selectable: 2026 to 2030)</t>
        </is>
      </c>
      <c r="K166" s="63" t="n">
        <v>2030</v>
      </c>
    </row>
    <row r="167">
      <c r="D167" s="22" t="inlineStr">
        <is>
          <t>Total diluted shares outstanding (m)</t>
        </is>
      </c>
      <c r="F167" s="64" t="n">
        <v>3116.652</v>
      </c>
      <c r="H167" s="41">
        <f>"Exit multiple - Pre-IFRS 16 EBITDA "&amp;K166&amp;"E"</f>
        <v/>
      </c>
      <c r="K167" s="65">
        <f>+K164</f>
        <v/>
      </c>
    </row>
    <row r="168">
      <c r="D168" s="41" t="inlineStr">
        <is>
          <t>Stake acquired (%) [64.35% = Amancio + Sandra]</t>
        </is>
      </c>
      <c r="F168" s="66" t="n">
        <v>0.64347</v>
      </c>
      <c r="H168" s="22" t="inlineStr">
        <is>
          <t>Entry transaction expenses (% of purchase)</t>
        </is>
      </c>
      <c r="K168" s="23" t="n">
        <v>0.015</v>
      </c>
    </row>
    <row r="169">
      <c r="D169" s="41" t="inlineStr">
        <is>
          <t>Attributable FY25A Pre-IFRS 16 Cash EBITDA (€m)</t>
        </is>
      </c>
      <c r="F169" s="57">
        <f>+F163*F168</f>
        <v/>
      </c>
      <c r="H169" s="22" t="inlineStr">
        <is>
          <t>Upfront financing fees (% of bank/sub debt)</t>
        </is>
      </c>
      <c r="K169" s="23" t="n">
        <v>0.015</v>
      </c>
    </row>
    <row r="170">
      <c r="D170" s="41" t="inlineStr">
        <is>
          <t>Target stake purchase price (€m)</t>
        </is>
      </c>
      <c r="F170" s="57">
        <f>+F166*F167*F168</f>
        <v/>
      </c>
      <c r="H170" s="22" t="inlineStr">
        <is>
          <t>Exit transaction expenses (% of exit EV)</t>
        </is>
      </c>
      <c r="K170" s="23" t="n">
        <v>0.005</v>
      </c>
    </row>
    <row r="171">
      <c r="D171" s="22" t="inlineStr">
        <is>
          <t>Minimum cash retained on 100% Inditex BS (€m)</t>
        </is>
      </c>
      <c r="F171" s="64" t="n">
        <v>2000</v>
      </c>
    </row>
    <row r="172">
      <c r="D172" s="22" t="inlineStr">
        <is>
          <t>Existing statutory net cash on 100% BS (€m)</t>
        </is>
      </c>
      <c r="F172" s="64" t="n">
        <v>10958</v>
      </c>
    </row>
    <row r="173">
      <c r="D173" s="41" t="inlineStr">
        <is>
          <t>Attributable excess cash deployed at close (€m)</t>
        </is>
      </c>
      <c r="F173" s="57">
        <f>+MAX(0,F172-F171)*F168</f>
        <v/>
      </c>
    </row>
    <row r="175">
      <c r="D175" s="14" t="inlineStr">
        <is>
          <t>Multi-Tranche Debt Assumptions (Sized on Attributable EBITDA)</t>
        </is>
      </c>
      <c r="E175" s="14" t="n"/>
      <c r="F175" s="67" t="inlineStr">
        <is>
          <t>All-in Rate / Val</t>
        </is>
      </c>
      <c r="G175" s="67" t="inlineStr">
        <is>
          <t>xEBITDA / Base</t>
        </is>
      </c>
      <c r="H175" s="67" t="inlineStr">
        <is>
          <t>Spread / Fixed</t>
        </is>
      </c>
      <c r="I175" s="67" t="inlineStr">
        <is>
          <t>PIK (0=Cash,1=PIK)</t>
        </is>
      </c>
    </row>
    <row r="176">
      <c r="D176" s="41" t="inlineStr">
        <is>
          <t>Total LBO Debt xAttributable EBITDA (All Tranches)</t>
        </is>
      </c>
      <c r="F176" s="68">
        <f>+SUM(G178:G181)</f>
        <v/>
      </c>
    </row>
    <row r="177">
      <c r="D177" s="22" t="inlineStr">
        <is>
          <t>Blended initial interest rate / Reference Euribor</t>
        </is>
      </c>
      <c r="F177" s="69">
        <f>+(E190*F178+E191*F179+E192*F180+E193*F181)/SUM(E190:E193)</f>
        <v/>
      </c>
      <c r="G177" s="70" t="n">
        <v>0.03</v>
      </c>
    </row>
    <row r="178">
      <c r="D178" s="22" t="inlineStr">
        <is>
          <t>1A. Senior TLA (6y amortising: 10/15/20/25/30%)</t>
        </is>
      </c>
      <c r="F178" s="69">
        <f>+$G$177+H178</f>
        <v/>
      </c>
      <c r="G178" s="71" t="n">
        <v>1.5</v>
      </c>
      <c r="H178" s="70" t="n">
        <v>0.025</v>
      </c>
    </row>
    <row r="179">
      <c r="D179" s="22" t="inlineStr">
        <is>
          <t>1B. Senior TLB (7y bullet by default; sweep in F183)</t>
        </is>
      </c>
      <c r="F179" s="69">
        <f>+$G$177+H179</f>
        <v/>
      </c>
      <c r="G179" s="71" t="n">
        <v>3</v>
      </c>
      <c r="H179" s="70" t="n">
        <v>0.035</v>
      </c>
    </row>
    <row r="180">
      <c r="D180" s="22" t="inlineStr">
        <is>
          <t>2. Subordinated Debt (Bullet; I180: 0=Cash, 1=PIK)</t>
        </is>
      </c>
      <c r="F180" s="69">
        <f>+$G$177+H180</f>
        <v/>
      </c>
      <c r="G180" s="71" t="n">
        <v>2</v>
      </c>
      <c r="H180" s="70" t="n">
        <v>0.0475</v>
      </c>
      <c r="I180" s="72" t="n">
        <v>0</v>
      </c>
    </row>
    <row r="181">
      <c r="D181" s="22" t="inlineStr">
        <is>
          <t>3. Ortega Vendor Loan (Bullet; I181: 0=Cash, 1=PIK)</t>
        </is>
      </c>
      <c r="F181" s="69">
        <f>+H181</f>
        <v/>
      </c>
      <c r="G181" s="71" t="n">
        <v>4</v>
      </c>
      <c r="H181" s="70" t="n">
        <v>0.055</v>
      </c>
      <c r="I181" s="72" t="n">
        <v>0</v>
      </c>
    </row>
    <row r="182">
      <c r="D182" s="22" t="inlineStr">
        <is>
          <t>TLB mandatory amortisation (% p.a. — 0% = Bullet)</t>
        </is>
      </c>
      <c r="F182" s="43" t="n">
        <v>0</v>
      </c>
    </row>
    <row r="183">
      <c r="D183" s="41" t="inlineStr">
        <is>
          <t>TLB excess cash sweep (% — 0% = Hold to maturity)</t>
        </is>
      </c>
      <c r="F183" s="73" t="n">
        <v>0</v>
      </c>
    </row>
    <row r="184">
      <c r="D184" s="22" t="inlineStr">
        <is>
          <t>RCF commitment limit (€m, undrawn at close)</t>
        </is>
      </c>
      <c r="F184" s="34" t="n">
        <v>2000</v>
      </c>
    </row>
    <row r="185">
      <c r="D185" s="22" t="inlineStr">
        <is>
          <t>RCF drawn interest rate (Euribor + 2.25%)</t>
        </is>
      </c>
      <c r="F185" s="69">
        <f>+$G$177+H185</f>
        <v/>
      </c>
      <c r="H185" s="70" t="n">
        <v>0.0225</v>
      </c>
    </row>
    <row r="186">
      <c r="D186" s="22" t="inlineStr">
        <is>
          <t>RCF undrawn commitment fee (% p.a.)</t>
        </is>
      </c>
      <c r="F186" s="70" t="n">
        <v>0.0035</v>
      </c>
    </row>
    <row r="188">
      <c r="B188" s="12" t="inlineStr">
        <is>
          <t>&gt;</t>
        </is>
      </c>
      <c r="C188" s="14" t="inlineStr">
        <is>
          <t>S&amp;U (Acquisition of Target Stake &amp; Newco Ownership)</t>
        </is>
      </c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</row>
    <row r="189">
      <c r="D189" s="13" t="inlineStr">
        <is>
          <t>Sources of Funds</t>
        </is>
      </c>
      <c r="E189" s="74" t="inlineStr">
        <is>
          <t>€m</t>
        </is>
      </c>
      <c r="F189" s="74" t="inlineStr">
        <is>
          <t>%</t>
        </is>
      </c>
    </row>
    <row r="190">
      <c r="D190" s="22" t="inlineStr">
        <is>
          <t>1A. Senior TLA</t>
        </is>
      </c>
      <c r="E190" s="35">
        <f>+G178*F169</f>
        <v/>
      </c>
      <c r="F190" s="31">
        <f>+E190/$E$197</f>
        <v/>
      </c>
    </row>
    <row r="191">
      <c r="D191" s="22" t="inlineStr">
        <is>
          <t>1B. Senior TLB</t>
        </is>
      </c>
      <c r="E191" s="35">
        <f>+G179*F169</f>
        <v/>
      </c>
      <c r="F191" s="31">
        <f>+E191/$E$197</f>
        <v/>
      </c>
    </row>
    <row r="192">
      <c r="D192" s="22" t="inlineStr">
        <is>
          <t>2. Subordinated / Mezzanine debt</t>
        </is>
      </c>
      <c r="E192" s="35">
        <f>+G180*F169</f>
        <v/>
      </c>
      <c r="F192" s="31">
        <f>+E192/$E$197</f>
        <v/>
      </c>
    </row>
    <row r="193">
      <c r="D193" s="22" t="inlineStr">
        <is>
          <t>3. Ortega family Vendor Loan</t>
        </is>
      </c>
      <c r="E193" s="35">
        <f>+G181*F169</f>
        <v/>
      </c>
      <c r="F193" s="31">
        <f>+E193/$E$197</f>
        <v/>
      </c>
    </row>
    <row r="194">
      <c r="D194" s="75" t="inlineStr">
        <is>
          <t>4. RCF drawn at close</t>
        </is>
      </c>
      <c r="E194" s="34" t="n">
        <v>0</v>
      </c>
      <c r="F194" s="43">
        <f>+E194/$E$197</f>
        <v/>
      </c>
    </row>
    <row r="195">
      <c r="D195" s="22" t="inlineStr">
        <is>
          <t>Attributable excess BS cash deployed</t>
        </is>
      </c>
      <c r="E195" s="35">
        <f>+F173</f>
        <v/>
      </c>
      <c r="F195" s="31">
        <f>+E195/$E$197</f>
        <v/>
      </c>
    </row>
    <row r="196">
      <c r="D196" s="41" t="inlineStr">
        <is>
          <t>Sponsor cash equity cheque (Plug)</t>
        </is>
      </c>
      <c r="E196" s="42">
        <f>+E197-SUM(E190:E195)</f>
        <v/>
      </c>
      <c r="F196" s="76">
        <f>+E196/$E$197</f>
        <v/>
      </c>
    </row>
    <row r="197">
      <c r="D197" s="36" t="inlineStr">
        <is>
          <t>Total sources of funds</t>
        </is>
      </c>
      <c r="E197" s="37">
        <f>+E204</f>
        <v/>
      </c>
      <c r="F197" s="38">
        <f>+E197/$E$197</f>
        <v/>
      </c>
    </row>
    <row r="199">
      <c r="D199" s="13" t="inlineStr">
        <is>
          <t>Uses of Funds</t>
        </is>
      </c>
      <c r="E199" s="74" t="inlineStr">
        <is>
          <t>€m</t>
        </is>
      </c>
      <c r="F199" s="74" t="inlineStr">
        <is>
          <t>%</t>
        </is>
      </c>
    </row>
    <row r="200">
      <c r="D200" s="22" t="inlineStr">
        <is>
          <t>Acquisition of Target Stake (% in F168)</t>
        </is>
      </c>
      <c r="E200" s="35">
        <f>+F170</f>
        <v/>
      </c>
      <c r="F200" s="31">
        <f>+E200/$E$204</f>
        <v/>
      </c>
    </row>
    <row r="201">
      <c r="D201" s="22" t="inlineStr">
        <is>
          <t>Minimum cash funded (0 = retained from BS)</t>
        </is>
      </c>
      <c r="E201" s="34" t="n">
        <v>0</v>
      </c>
      <c r="F201" s="31">
        <f>+E201/$E$204</f>
        <v/>
      </c>
    </row>
    <row r="202">
      <c r="D202" s="22" t="inlineStr">
        <is>
          <t>Upfront financing fees (% of bank/sub debt)</t>
        </is>
      </c>
      <c r="E202" s="35">
        <f>+SUM(E190:E192)*K169</f>
        <v/>
      </c>
      <c r="F202" s="31">
        <f>+E202/$E$204</f>
        <v/>
      </c>
    </row>
    <row r="203">
      <c r="D203" s="22" t="inlineStr">
        <is>
          <t>Transaction advisory expenses (% purchase)</t>
        </is>
      </c>
      <c r="E203" s="35">
        <f>+E200*K168</f>
        <v/>
      </c>
      <c r="F203" s="31">
        <f>+E203/$E$204</f>
        <v/>
      </c>
    </row>
    <row r="204">
      <c r="D204" s="36" t="inlineStr">
        <is>
          <t>Total uses of funds</t>
        </is>
      </c>
      <c r="E204" s="37">
        <f>+SUM(E200:E203)</f>
        <v/>
      </c>
      <c r="F204" s="38">
        <f>+E204/$E$204</f>
        <v/>
      </c>
    </row>
    <row r="206">
      <c r="D206" s="13" t="inlineStr">
        <is>
          <t>Newco Equity Ownership (Control Buyout Vehicle)</t>
        </is>
      </c>
      <c r="E206" s="74" t="inlineStr">
        <is>
          <t>€m</t>
        </is>
      </c>
      <c r="F206" s="74" t="inlineStr">
        <is>
          <t>% Newco</t>
        </is>
      </c>
    </row>
    <row r="207">
      <c r="D207" s="22" t="inlineStr">
        <is>
          <t>Seller equity rollover in Newco (0% = Full sale + Vendor Loan)</t>
        </is>
      </c>
      <c r="E207" s="34" t="n">
        <v>0</v>
      </c>
      <c r="F207" s="69">
        <f>+E207/$E$209</f>
        <v/>
      </c>
    </row>
    <row r="208">
      <c r="D208" s="41" t="inlineStr">
        <is>
          <t>Sponsor (Cash equity cheque — 100% of Newco)</t>
        </is>
      </c>
      <c r="E208" s="42">
        <f>+E196</f>
        <v/>
      </c>
      <c r="F208" s="69">
        <f>+E208/$E$209</f>
        <v/>
      </c>
    </row>
    <row r="209">
      <c r="D209" s="36" t="inlineStr">
        <is>
          <t>Total Newco common equity</t>
        </is>
      </c>
      <c r="E209" s="37">
        <f>+SUM(E207:E208)</f>
        <v/>
      </c>
      <c r="F209" s="77">
        <f>+SUM(F207:F208)</f>
        <v/>
      </c>
    </row>
    <row r="212" ht="13.5" customHeight="1">
      <c r="B212" s="12" t="inlineStr">
        <is>
          <t>&gt;</t>
        </is>
      </c>
      <c r="C212" s="14" t="inlineStr">
        <is>
          <t>Exit valuation analysis</t>
        </is>
      </c>
      <c r="D212" s="14" t="n"/>
      <c r="E212" s="14" t="n"/>
      <c r="F212" s="14" t="n"/>
      <c r="G212" s="14" t="n"/>
      <c r="H212" s="14" t="n"/>
      <c r="I212" s="14" t="n"/>
      <c r="J212" s="15" t="inlineStr">
        <is>
          <t>31-Jan</t>
        </is>
      </c>
      <c r="K212" s="15" t="inlineStr">
        <is>
          <t>31-Jan</t>
        </is>
      </c>
      <c r="L212" s="15" t="inlineStr">
        <is>
          <t>31-Jan</t>
        </is>
      </c>
      <c r="M212" s="15" t="inlineStr">
        <is>
          <t>31-Jan</t>
        </is>
      </c>
      <c r="N212" s="15" t="inlineStr">
        <is>
          <t>31-Jan</t>
        </is>
      </c>
      <c r="O212" s="15" t="inlineStr">
        <is>
          <t>31-Jan</t>
        </is>
      </c>
      <c r="P212" s="15" t="inlineStr">
        <is>
          <t>31-Jan</t>
        </is>
      </c>
      <c r="Q212" s="15" t="inlineStr">
        <is>
          <t>31-Jan</t>
        </is>
      </c>
      <c r="R212" s="15" t="inlineStr">
        <is>
          <t>31-Jan</t>
        </is>
      </c>
      <c r="S212" s="14" t="n"/>
      <c r="T212" s="14" t="n"/>
      <c r="U212" s="14" t="n"/>
      <c r="V212" s="14" t="n"/>
    </row>
    <row r="213" ht="13.5" customHeight="1">
      <c r="C213" s="14" t="inlineStr">
        <is>
          <t>€m</t>
        </is>
      </c>
      <c r="D213" s="14" t="n"/>
      <c r="E213" s="14" t="n"/>
      <c r="F213" s="14" t="n"/>
      <c r="G213" s="14" t="n"/>
      <c r="H213" s="14" t="n"/>
      <c r="I213" s="14" t="n"/>
      <c r="J213" s="16">
        <f>+J20</f>
        <v/>
      </c>
      <c r="K213" s="16">
        <f>+J213+1</f>
        <v/>
      </c>
      <c r="L213" s="16">
        <f>+K213+1</f>
        <v/>
      </c>
      <c r="M213" s="16">
        <f>+L213+1</f>
        <v/>
      </c>
      <c r="N213" s="17">
        <f>+M213+1</f>
        <v/>
      </c>
      <c r="O213" s="17">
        <f>+N213+1</f>
        <v/>
      </c>
      <c r="P213" s="17">
        <f>+O213+1</f>
        <v/>
      </c>
      <c r="Q213" s="17">
        <f>+P213+1</f>
        <v/>
      </c>
      <c r="R213" s="17">
        <f>+Q213+1</f>
        <v/>
      </c>
      <c r="S213" s="14" t="n"/>
      <c r="T213" s="14" t="n"/>
      <c r="U213" s="14" t="n"/>
      <c r="V213" s="14" t="n"/>
    </row>
    <row r="215">
      <c r="B215" s="9" t="n">
        <v>7</v>
      </c>
      <c r="D215" s="22" t="inlineStr">
        <is>
          <t>EBITDA Exit Multiple (Pre-IFRS 16)</t>
        </is>
      </c>
      <c r="N215" s="78">
        <f>+$K$167</f>
        <v/>
      </c>
      <c r="O215" s="78">
        <f>+$K$167</f>
        <v/>
      </c>
      <c r="P215" s="78">
        <f>+$K$167</f>
        <v/>
      </c>
      <c r="Q215" s="78">
        <f>+$K$167</f>
        <v/>
      </c>
      <c r="R215" s="78">
        <f>+$K$167</f>
        <v/>
      </c>
    </row>
    <row r="216">
      <c r="D216" s="22" t="inlineStr">
        <is>
          <t>Attributable Pre-IFRS 16 Cash EBITDA (% Stake Acquired)</t>
        </is>
      </c>
      <c r="N216" s="35">
        <f>+N29*$F$168</f>
        <v/>
      </c>
      <c r="O216" s="35">
        <f>+O29*$F$168</f>
        <v/>
      </c>
      <c r="P216" s="35">
        <f>+P29*$F$168</f>
        <v/>
      </c>
      <c r="Q216" s="35">
        <f>+Q29*$F$168</f>
        <v/>
      </c>
      <c r="R216" s="35">
        <f>+R29*$F$168</f>
        <v/>
      </c>
    </row>
    <row r="217">
      <c r="D217" s="18" t="inlineStr">
        <is>
          <t>Attributable Enterprise Value (EV of Acquired Stake)</t>
        </is>
      </c>
      <c r="E217" s="18" t="n"/>
      <c r="F217" s="18" t="n"/>
      <c r="G217" s="18" t="n"/>
      <c r="H217" s="18" t="n"/>
      <c r="I217" s="18" t="n"/>
      <c r="J217" s="18" t="n"/>
      <c r="K217" s="18" t="n"/>
      <c r="L217" s="18" t="n"/>
      <c r="M217" s="18" t="n"/>
      <c r="N217" s="28">
        <f>+N216*N215</f>
        <v/>
      </c>
      <c r="O217" s="28">
        <f>+O216*O215</f>
        <v/>
      </c>
      <c r="P217" s="28">
        <f>+P216*P215</f>
        <v/>
      </c>
      <c r="Q217" s="28">
        <f>+Q216*Q215</f>
        <v/>
      </c>
      <c r="R217" s="28">
        <f>+R216*R215</f>
        <v/>
      </c>
    </row>
    <row r="218">
      <c r="D218" s="22" t="inlineStr">
        <is>
          <t>Less: Total financial debt (Senior + Sub + Vendor Loan + RCF)</t>
        </is>
      </c>
      <c r="N218" s="35">
        <f>-N131</f>
        <v/>
      </c>
      <c r="O218" s="35">
        <f>-O131</f>
        <v/>
      </c>
      <c r="P218" s="35">
        <f>-P131</f>
        <v/>
      </c>
      <c r="Q218" s="35">
        <f>-Q131</f>
        <v/>
      </c>
      <c r="R218" s="35">
        <f>-R131</f>
        <v/>
      </c>
    </row>
    <row r="219">
      <c r="D219" s="22" t="inlineStr">
        <is>
          <t>Plus: Attributable EoP cash</t>
        </is>
      </c>
      <c r="N219" s="35">
        <f>+N157</f>
        <v/>
      </c>
      <c r="O219" s="35">
        <f>+O157</f>
        <v/>
      </c>
      <c r="P219" s="35">
        <f>+P157</f>
        <v/>
      </c>
      <c r="Q219" s="35">
        <f>+Q157</f>
        <v/>
      </c>
      <c r="R219" s="35">
        <f>+R157</f>
        <v/>
      </c>
    </row>
    <row r="220">
      <c r="D220" s="22" t="inlineStr">
        <is>
          <t>Less: Interim dividends</t>
        </is>
      </c>
      <c r="N220" s="35">
        <f>-N153</f>
        <v/>
      </c>
      <c r="O220" s="35">
        <f>-O153</f>
        <v/>
      </c>
      <c r="P220" s="35">
        <f>-P153</f>
        <v/>
      </c>
      <c r="Q220" s="35">
        <f>-Q153</f>
        <v/>
      </c>
      <c r="R220" s="35">
        <f>-R153</f>
        <v/>
      </c>
    </row>
    <row r="221">
      <c r="D221" s="22" t="inlineStr">
        <is>
          <t>Less: Exit transaction expenses</t>
        </is>
      </c>
      <c r="N221" s="35">
        <f>-$K$170*N217</f>
        <v/>
      </c>
      <c r="O221" s="35">
        <f>-$K$170*O217</f>
        <v/>
      </c>
      <c r="P221" s="35">
        <f>-$K$170*P217</f>
        <v/>
      </c>
      <c r="Q221" s="35">
        <f>-$K$170*Q217</f>
        <v/>
      </c>
      <c r="R221" s="35">
        <f>-$K$170*R217</f>
        <v/>
      </c>
    </row>
    <row r="222">
      <c r="D222" s="36" t="inlineStr">
        <is>
          <t>Newco Equity Value at Exit</t>
        </is>
      </c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7">
        <f>+SUM(N217:N221)</f>
        <v/>
      </c>
      <c r="O222" s="37">
        <f>+SUM(O217:O221)</f>
        <v/>
      </c>
      <c r="P222" s="37">
        <f>+SUM(P217:P221)</f>
        <v/>
      </c>
      <c r="Q222" s="37">
        <f>+SUM(Q217:Q221)</f>
        <v/>
      </c>
      <c r="R222" s="37">
        <f>+SUM(R217:R221)</f>
        <v/>
      </c>
    </row>
    <row r="224">
      <c r="D224" s="22" t="inlineStr">
        <is>
          <t>Seller rollover proceeds (if any)</t>
        </is>
      </c>
      <c r="N224" s="35">
        <f>+N222*$F$207</f>
        <v/>
      </c>
      <c r="O224" s="35">
        <f>+O222*$F$207</f>
        <v/>
      </c>
      <c r="P224" s="35">
        <f>+P222*$F$207</f>
        <v/>
      </c>
      <c r="Q224" s="35">
        <f>+Q222*$F$207</f>
        <v/>
      </c>
      <c r="R224" s="35">
        <f>+R222*$F$207</f>
        <v/>
      </c>
    </row>
    <row r="225">
      <c r="D225" s="41" t="inlineStr">
        <is>
          <t>Sponsor (PE exit proceeds)</t>
        </is>
      </c>
      <c r="N225" s="42">
        <f>+N222*$F$208</f>
        <v/>
      </c>
      <c r="O225" s="42">
        <f>+O222*$F$208</f>
        <v/>
      </c>
      <c r="P225" s="42">
        <f>+P222*$F$208</f>
        <v/>
      </c>
      <c r="Q225" s="42">
        <f>+Q222*$F$208</f>
        <v/>
      </c>
      <c r="R225" s="42">
        <f>+R222*$F$208</f>
        <v/>
      </c>
    </row>
    <row r="227">
      <c r="D227" s="41" t="inlineStr">
        <is>
          <t>Returns Analysis (Sponsor)</t>
        </is>
      </c>
    </row>
    <row r="229">
      <c r="D229" s="79" t="inlineStr">
        <is>
          <t>Internal Rate of Return (IRR) @ Selected Exit</t>
        </is>
      </c>
      <c r="E229" s="79" t="n"/>
      <c r="F229" s="80">
        <f>+INDEX(U235:U239,MATCH($K$166,D235:D239,0))</f>
        <v/>
      </c>
      <c r="N229" s="76">
        <f>+U235</f>
        <v/>
      </c>
      <c r="O229" s="76">
        <f>+U236</f>
        <v/>
      </c>
      <c r="P229" s="76">
        <f>+U237</f>
        <v/>
      </c>
      <c r="Q229" s="76">
        <f>+U238</f>
        <v/>
      </c>
      <c r="R229" s="76">
        <f>+U239</f>
        <v/>
      </c>
    </row>
    <row r="230">
      <c r="D230" s="79" t="inlineStr">
        <is>
          <t>Money Multiple (MoM / CoC) @ Selected Exit</t>
        </is>
      </c>
      <c r="E230" s="79" t="n"/>
      <c r="F230" s="81">
        <f>+INDEX(V235:V239,MATCH($K$166,D235:D239,0))</f>
        <v/>
      </c>
      <c r="N230" s="68">
        <f>+V235</f>
        <v/>
      </c>
      <c r="O230" s="68">
        <f>+V236</f>
        <v/>
      </c>
      <c r="P230" s="68">
        <f>+V237</f>
        <v/>
      </c>
      <c r="Q230" s="68">
        <f>+V238</f>
        <v/>
      </c>
      <c r="R230" s="68">
        <f>+V239</f>
        <v/>
      </c>
    </row>
    <row r="232">
      <c r="M232" s="82">
        <f>+DATE(M234+1,1,31)</f>
        <v/>
      </c>
      <c r="N232" s="82">
        <f>+DATE(N234+1,1,31)</f>
        <v/>
      </c>
      <c r="O232" s="82">
        <f>+DATE(O234+1,1,31)</f>
        <v/>
      </c>
      <c r="P232" s="82">
        <f>+DATE(P234+1,1,31)</f>
        <v/>
      </c>
      <c r="Q232" s="82">
        <f>+DATE(Q234+1,1,31)</f>
        <v/>
      </c>
      <c r="R232" s="82">
        <f>+DATE(R234+1,1,31)</f>
        <v/>
      </c>
    </row>
    <row r="233">
      <c r="D233" s="14" t="inlineStr">
        <is>
          <t>IRR and CoC cash flow matrix</t>
        </is>
      </c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5" t="inlineStr">
        <is>
          <t>31-Jan</t>
        </is>
      </c>
      <c r="N233" s="15" t="inlineStr">
        <is>
          <t>31-Jan</t>
        </is>
      </c>
      <c r="O233" s="15" t="inlineStr">
        <is>
          <t>31-Jan</t>
        </is>
      </c>
      <c r="P233" s="15" t="inlineStr">
        <is>
          <t>31-Jan</t>
        </is>
      </c>
      <c r="Q233" s="15" t="inlineStr">
        <is>
          <t>31-Jan</t>
        </is>
      </c>
      <c r="R233" s="15" t="inlineStr">
        <is>
          <t>31-Jan</t>
        </is>
      </c>
      <c r="S233" s="14" t="n"/>
      <c r="T233" s="14" t="n"/>
      <c r="U233" s="14" t="n"/>
      <c r="V233" s="14" t="n"/>
    </row>
    <row r="234">
      <c r="D234" s="14" t="inlineStr">
        <is>
          <t>Exit year</t>
        </is>
      </c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6" t="n">
        <v>2025</v>
      </c>
      <c r="N234" s="17">
        <f>+M234+1</f>
        <v/>
      </c>
      <c r="O234" s="17">
        <f>+N234+1</f>
        <v/>
      </c>
      <c r="P234" s="17">
        <f>+O234+1</f>
        <v/>
      </c>
      <c r="Q234" s="17">
        <f>+P234+1</f>
        <v/>
      </c>
      <c r="R234" s="17">
        <f>+Q234+1</f>
        <v/>
      </c>
      <c r="S234" s="14" t="n"/>
      <c r="T234" s="14" t="n"/>
      <c r="U234" s="67" t="inlineStr">
        <is>
          <t>IRR</t>
        </is>
      </c>
      <c r="V234" s="67" t="inlineStr">
        <is>
          <t>CoC (MoM)</t>
        </is>
      </c>
    </row>
    <row r="235">
      <c r="D235" s="83">
        <f>+N234</f>
        <v/>
      </c>
      <c r="M235" s="35">
        <f>-$E$196</f>
        <v/>
      </c>
      <c r="N235" s="35">
        <f>+(IF($D235=N$234,N$222,0)+N$220)*$F$208</f>
        <v/>
      </c>
      <c r="O235" s="35" t="n">
        <v>0</v>
      </c>
      <c r="P235" s="35" t="n">
        <v>0</v>
      </c>
      <c r="Q235" s="35" t="n">
        <v>0</v>
      </c>
      <c r="R235" s="35" t="n">
        <v>0</v>
      </c>
      <c r="U235" s="76">
        <f>+IFERROR(XIRR(M235:N235,$M$232:$N$232),0)</f>
        <v/>
      </c>
      <c r="V235" s="68">
        <f>-SUM(N235:N235)/M235</f>
        <v/>
      </c>
    </row>
    <row r="236">
      <c r="D236" s="83">
        <f>+O234</f>
        <v/>
      </c>
      <c r="M236" s="35">
        <f>-$E$196</f>
        <v/>
      </c>
      <c r="N236" s="35">
        <f>+(IF($D236=N$234,N$222,0)+N$220)*$F$208</f>
        <v/>
      </c>
      <c r="O236" s="35">
        <f>+(IF($D236=O$234,O$222,0)+O$220)*$F$208</f>
        <v/>
      </c>
      <c r="P236" s="35" t="n">
        <v>0</v>
      </c>
      <c r="Q236" s="35" t="n">
        <v>0</v>
      </c>
      <c r="R236" s="35" t="n">
        <v>0</v>
      </c>
      <c r="U236" s="76">
        <f>+IFERROR(XIRR(M236:O236,$M$232:$O$232),0)</f>
        <v/>
      </c>
      <c r="V236" s="68">
        <f>-SUM(N236:O236)/M236</f>
        <v/>
      </c>
    </row>
    <row r="237">
      <c r="D237" s="83">
        <f>+P234</f>
        <v/>
      </c>
      <c r="M237" s="35">
        <f>-$E$196</f>
        <v/>
      </c>
      <c r="N237" s="35">
        <f>+(IF($D237=N$234,N$222,0)+N$220)*$F$208</f>
        <v/>
      </c>
      <c r="O237" s="35">
        <f>+(IF($D237=O$234,O$222,0)+O$220)*$F$208</f>
        <v/>
      </c>
      <c r="P237" s="35">
        <f>+(IF($D237=P$234,P$222,0)+P$220)*$F$208</f>
        <v/>
      </c>
      <c r="Q237" s="35" t="n">
        <v>0</v>
      </c>
      <c r="R237" s="35" t="n">
        <v>0</v>
      </c>
      <c r="U237" s="76">
        <f>+IFERROR(XIRR(M237:P237,$M$232:$P$232),0)</f>
        <v/>
      </c>
      <c r="V237" s="68">
        <f>-SUM(N237:P237)/M237</f>
        <v/>
      </c>
    </row>
    <row r="238">
      <c r="D238" s="83">
        <f>+Q234</f>
        <v/>
      </c>
      <c r="M238" s="35">
        <f>-$E$196</f>
        <v/>
      </c>
      <c r="N238" s="35">
        <f>+(IF($D238=N$234,N$222,0)+N$220)*$F$208</f>
        <v/>
      </c>
      <c r="O238" s="35">
        <f>+(IF($D238=O$234,O$222,0)+O$220)*$F$208</f>
        <v/>
      </c>
      <c r="P238" s="35">
        <f>+(IF($D238=P$234,P$222,0)+P$220)*$F$208</f>
        <v/>
      </c>
      <c r="Q238" s="35">
        <f>+(IF($D238=Q$234,Q$222,0)+Q$220)*$F$208</f>
        <v/>
      </c>
      <c r="R238" s="35" t="n">
        <v>0</v>
      </c>
      <c r="U238" s="76">
        <f>+IFERROR(XIRR(M238:Q238,$M$232:$Q$232),0)</f>
        <v/>
      </c>
      <c r="V238" s="68">
        <f>-SUM(N238:Q238)/M238</f>
        <v/>
      </c>
    </row>
    <row r="239">
      <c r="D239" s="83">
        <f>+R234</f>
        <v/>
      </c>
      <c r="M239" s="35">
        <f>-$E$196</f>
        <v/>
      </c>
      <c r="N239" s="35">
        <f>+(IF($D239=N$234,N$222,0)+N$220)*$F$208</f>
        <v/>
      </c>
      <c r="O239" s="35">
        <f>+(IF($D239=O$234,O$222,0)+O$220)*$F$208</f>
        <v/>
      </c>
      <c r="P239" s="35">
        <f>+(IF($D239=P$234,P$222,0)+P$220)*$F$208</f>
        <v/>
      </c>
      <c r="Q239" s="35">
        <f>+(IF($D239=Q$234,Q$222,0)+Q$220)*$F$208</f>
        <v/>
      </c>
      <c r="R239" s="35">
        <f>+(IF($D239=R$234,R$222,0)+R$220)*$F$208</f>
        <v/>
      </c>
      <c r="U239" s="76">
        <f>+IFERROR(XIRR(M239:R239,$M$232:$R$232),0)</f>
        <v/>
      </c>
      <c r="V239" s="68">
        <f>-SUM(N239:R239)/M239</f>
        <v/>
      </c>
    </row>
    <row r="241">
      <c r="D241" s="36">
        <f>"Active Exit @ "&amp;K166&amp;"E"</f>
        <v/>
      </c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7">
        <f>+INDEX(M235:M239,MATCH($K$166,$D$235:$D$239,0))</f>
        <v/>
      </c>
      <c r="N241" s="37">
        <f>+INDEX(N235:N239,MATCH($K$166,$D$235:$D$239,0))</f>
        <v/>
      </c>
      <c r="O241" s="37">
        <f>+INDEX(O235:O239,MATCH($K$166,$D$235:$D$239,0))</f>
        <v/>
      </c>
      <c r="P241" s="37">
        <f>+INDEX(P235:P239,MATCH($K$166,$D$235:$D$239,0))</f>
        <v/>
      </c>
      <c r="Q241" s="37">
        <f>+INDEX(Q235:Q239,MATCH($K$166,$D$235:$D$239,0))</f>
        <v/>
      </c>
      <c r="R241" s="37">
        <f>+INDEX(R235:R239,MATCH($K$166,$D$235:$D$239,0))</f>
        <v/>
      </c>
      <c r="S241" s="36" t="n"/>
      <c r="T241" s="36" t="n"/>
      <c r="U241" s="38">
        <f>+F229</f>
        <v/>
      </c>
      <c r="V241" s="84">
        <f>+F230</f>
        <v/>
      </c>
    </row>
    <row r="244">
      <c r="B244" s="12" t="inlineStr">
        <is>
          <t>&gt;</t>
        </is>
      </c>
      <c r="C244" s="14" t="inlineStr">
        <is>
          <t>Sensitivity Analysis (3x3) &amp; Automated Integrity Checks</t>
        </is>
      </c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</row>
    <row r="246">
      <c r="D246" s="41" t="inlineStr">
        <is>
          <t>Sponsor 2030E IRR — Offer Premium vs. Total Debt (incl. Vendor Loan)</t>
        </is>
      </c>
      <c r="J246" s="41" t="inlineStr">
        <is>
          <t>Sponsor 2030E Money Multiple (MoM)</t>
        </is>
      </c>
      <c r="N246" s="13" t="inlineStr">
        <is>
          <t>Automated Model Integrity Checks</t>
        </is>
      </c>
      <c r="O246" s="13" t="n"/>
      <c r="P246" s="13" t="n"/>
      <c r="Q246" s="74" t="inlineStr">
        <is>
          <t>Diff / Value</t>
        </is>
      </c>
      <c r="R246" s="85" t="inlineStr">
        <is>
          <t>Status</t>
        </is>
      </c>
    </row>
    <row r="247">
      <c r="D247" s="13" t="inlineStr">
        <is>
          <t>Offer Premium \ Total Debt xEBITDA</t>
        </is>
      </c>
      <c r="E247" s="86" t="n">
        <v>9</v>
      </c>
      <c r="F247" s="86" t="n">
        <v>10.5</v>
      </c>
      <c r="G247" s="86" t="n">
        <v>12</v>
      </c>
      <c r="J247" s="74" t="inlineStr">
        <is>
          <t>9.0x Debt</t>
        </is>
      </c>
      <c r="K247" s="74" t="inlineStr">
        <is>
          <t>10.5x Debt</t>
        </is>
      </c>
      <c r="L247" s="74" t="inlineStr">
        <is>
          <t>12.0x Debt</t>
        </is>
      </c>
      <c r="N247" s="22" t="inlineStr">
        <is>
          <t>1. Sources &amp; Uses balance check</t>
        </is>
      </c>
      <c r="Q247" s="35">
        <f>+E197-E204</f>
        <v/>
      </c>
      <c r="R247" s="87">
        <f>IF(ABS(Q247)&lt;0.01,"OK","CHECK")</f>
        <v/>
      </c>
    </row>
    <row r="248">
      <c r="D248" s="88" t="n">
        <v>0</v>
      </c>
      <c r="E248" s="89">
        <f>+(J248)^(365/($R$232-$M$232))-1</f>
        <v/>
      </c>
      <c r="F248" s="89">
        <f>+(K248)^(365/($R$232-$M$232))-1</f>
        <v/>
      </c>
      <c r="G248" s="89">
        <f>+(L248)^(365/($R$232-$M$232))-1</f>
        <v/>
      </c>
      <c r="J248" s="90">
        <f>+(($R$222+(((($F$164*(1+$D248)*$F$167-$F$172)/$F$163)-$K$167)*$R$216*(1-$K$170))-((E$247-$F$176)*$F$169*(1+5*$F$177*(1-$F$36))))*$F$208)/(($F$164*(1+$D248)*$F$167*$F$168)*(1+$K$168)+$E$202-(E$247*$F$169)-$E$195)</f>
        <v/>
      </c>
      <c r="K248" s="90">
        <f>+(($R$222+(((($F$164*(1+$D248)*$F$167-$F$172)/$F$163)-$K$167)*$R$216*(1-$K$170))-((F$247-$F$176)*$F$169*(1+5*$F$177*(1-$F$36))))*$F$208)/(($F$164*(1+$D248)*$F$167*$F$168)*(1+$K$168)+$E$202-(F$247*$F$169)-$E$195)</f>
        <v/>
      </c>
      <c r="L248" s="90">
        <f>+(($R$222+(((($F$164*(1+$D248)*$F$167-$F$172)/$F$163)-$K$167)*$R$216*(1-$K$170))-((G$247-$F$176)*$F$169*(1+5*$F$177*(1-$F$36))))*$F$208)/(($F$164*(1+$D248)*$F$167*$F$168)*(1+$K$168)+$E$202-(G$247*$F$169)-$E$195)</f>
        <v/>
      </c>
      <c r="N248" s="22" t="inlineStr">
        <is>
          <t>2. Newco equity ownership sums to 100%</t>
        </is>
      </c>
      <c r="Q248" s="91">
        <f>+F209-1</f>
        <v/>
      </c>
      <c r="R248" s="87">
        <f>IF(ABS(Q248)&lt;0.0001,"OK","CHECK")</f>
        <v/>
      </c>
    </row>
    <row r="249">
      <c r="D249" s="88" t="n">
        <v>0.05</v>
      </c>
      <c r="E249" s="89">
        <f>+(J249)^(365/($R$232-$M$232))-1</f>
        <v/>
      </c>
      <c r="F249" s="92">
        <f>+(K249)^(365/($R$232-$M$232))-1</f>
        <v/>
      </c>
      <c r="G249" s="89">
        <f>+(L249)^(365/($R$232-$M$232))-1</f>
        <v/>
      </c>
      <c r="J249" s="90">
        <f>+(($R$222+(((($F$164*(1+$D249)*$F$167-$F$172)/$F$163)-$K$167)*$R$216*(1-$K$170))-((E$247-$F$176)*$F$169*(1+5*$F$177*(1-$F$36))))*$F$208)/(($F$164*(1+$D249)*$F$167*$F$168)*(1+$K$168)+$E$202-(E$247*$F$169)-$E$195)</f>
        <v/>
      </c>
      <c r="K249" s="93">
        <f>+(($R$222+(((($F$164*(1+$D249)*$F$167-$F$172)/$F$163)-$K$167)*$R$216*(1-$K$170))-((F$247-$F$176)*$F$169*(1+5*$F$177*(1-$F$36))))*$F$208)/(($F$164*(1+$D249)*$F$167*$F$168)*(1+$K$168)+$E$202-(F$247*$F$169)-$E$195)</f>
        <v/>
      </c>
      <c r="L249" s="90">
        <f>+(($R$222+(((($F$164*(1+$D249)*$F$167-$F$172)/$F$163)-$K$167)*$R$216*(1-$K$170))-((G$247-$F$176)*$F$169*(1+5*$F$177*(1-$F$36))))*$F$208)/(($F$164*(1+$D249)*$F$167*$F$168)*(1+$K$168)+$E$202-(G$247*$F$169)-$E$195)</f>
        <v/>
      </c>
      <c r="N249" s="22" t="inlineStr">
        <is>
          <t>3. Minimum cash floor respected (all yrs)</t>
        </is>
      </c>
      <c r="Q249" s="35">
        <f>+MIN(M157:R157)-F171*F168</f>
        <v/>
      </c>
      <c r="R249" s="87">
        <f>IF(Q249&gt;=-0.01,"OK","CHECK")</f>
        <v/>
      </c>
    </row>
    <row r="250">
      <c r="D250" s="88" t="n">
        <v>0.15</v>
      </c>
      <c r="E250" s="89">
        <f>+(J250)^(365/($R$232-$M$232))-1</f>
        <v/>
      </c>
      <c r="F250" s="89">
        <f>+(K250)^(365/($R$232-$M$232))-1</f>
        <v/>
      </c>
      <c r="G250" s="89">
        <f>+(L250)^(365/($R$232-$M$232))-1</f>
        <v/>
      </c>
      <c r="J250" s="90">
        <f>+(($R$222+(((($F$164*(1+$D250)*$F$167-$F$172)/$F$163)-$K$167)*$R$216*(1-$K$170))-((E$247-$F$176)*$F$169*(1+5*$F$177*(1-$F$36))))*$F$208)/(($F$164*(1+$D250)*$F$167*$F$168)*(1+$K$168)+$E$202-(E$247*$F$169)-$E$195)</f>
        <v/>
      </c>
      <c r="K250" s="90">
        <f>+(($R$222+(((($F$164*(1+$D250)*$F$167-$F$172)/$F$163)-$K$167)*$R$216*(1-$K$170))-((F$247-$F$176)*$F$169*(1+5*$F$177*(1-$F$36))))*$F$208)/(($F$164*(1+$D250)*$F$167*$F$168)*(1+$K$168)+$E$202-(F$247*$F$169)-$E$195)</f>
        <v/>
      </c>
      <c r="L250" s="90">
        <f>+(($R$222+(((($F$164*(1+$D250)*$F$167-$F$172)/$F$163)-$K$167)*$R$216*(1-$K$170))-((G$247-$F$176)*$F$169*(1+5*$F$177*(1-$F$36))))*$F$208)/(($F$164*(1+$D250)*$F$167*$F$168)*(1+$K$168)+$E$202-(G$247*$F$169)-$E$195)</f>
        <v/>
      </c>
      <c r="N250" s="22" t="inlineStr">
        <is>
          <t>4. Non-negative debt balances (all yrs)</t>
        </is>
      </c>
      <c r="Q250" s="35">
        <f>+MIN(M82:R82,M92:R92,M101:R101,M110:R110,M117:R117)</f>
        <v/>
      </c>
      <c r="R250" s="87">
        <f>IF(Q250&gt;=-0.01,"OK","CHECK")</f>
        <v/>
      </c>
    </row>
    <row r="251">
      <c r="N251" s="22" t="inlineStr">
        <is>
          <t>5. TLA scheduled repayment sums to 100%</t>
        </is>
      </c>
      <c r="Q251" s="91">
        <f>+T83</f>
        <v/>
      </c>
      <c r="R251" s="87">
        <f>IF(ABS(Q251)&lt;0.0001,"OK","CHECK")</f>
        <v/>
      </c>
    </row>
    <row r="252">
      <c r="N252" s="22" t="inlineStr">
        <is>
          <t>6. P&amp;L D&amp;A reconciled to Capex schedule</t>
        </is>
      </c>
      <c r="Q252" s="35">
        <f>+MAX(ABS(N31-N56),ABS(R31-R56))</f>
        <v/>
      </c>
      <c r="R252" s="87">
        <f>IF(Q252&lt;0.01,"OK","CHECK")</f>
        <v/>
      </c>
    </row>
  </sheetData>
  <mergeCells count="2">
    <mergeCell ref="U19:U20"/>
    <mergeCell ref="V19:V20"/>
  </mergeCells>
  <dataValidations count="3">
    <dataValidation sqref="F9" showDropDown="0" showInputMessage="0" showErrorMessage="0" allowBlank="0" type="list">
      <formula1>"1,2,3"</formula1>
      <formula2>0</formula2>
    </dataValidation>
    <dataValidation sqref="K166" showDropDown="0" showInputMessage="0" showErrorMessage="0" allowBlank="0" type="list">
      <formula1>"2026,2027,2028,2029,2030"</formula1>
      <formula2>0</formula2>
    </dataValidation>
    <dataValidation sqref="I180:I181" showDropDown="0" showInputMessage="0" showErrorMessage="0" allowBlank="0" type="list">
      <formula1>"0,1"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S74"/>
  <sheetViews>
    <sheetView workbookViewId="0">
      <pane xSplit="2" ySplit="18" topLeftCell="C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8" customWidth="1" min="2" max="2"/>
    <col width="14" customWidth="1" min="3" max="3"/>
    <col width="13" customWidth="1" min="4" max="4"/>
    <col width="1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70" customWidth="1" min="18" max="18"/>
    <col width="80" customWidth="1" min="19" max="19"/>
  </cols>
  <sheetData>
    <row r="1">
      <c r="B1" s="100" t="inlineStr">
        <is>
          <t>Plan de creación de valor: panel de control</t>
        </is>
      </c>
    </row>
    <row r="2">
      <c r="B2" s="101" t="inlineStr">
        <is>
          <t>Cambia las celdas amarillas. El barómetro muestra en qué banda cae cada hipótesis (azul conservador · verde normal · amarillo optimista · rojo agresivo). Todo el modelo LBO se recalcula al instante.</t>
        </is>
      </c>
    </row>
    <row r="4">
      <c r="B4" t="inlineStr">
        <is>
          <t>Activar plan de creación de valor (1 = sí, 0 = no)</t>
        </is>
      </c>
      <c r="D4" s="102" t="n">
        <v>1</v>
      </c>
    </row>
    <row r="5">
      <c r="B5" t="inlineStr">
        <is>
          <t>Caso operativo (se elige en LBO_Rollover50!F9: 1 Base, 2 Bull, 3 Bear, 4 Bank)</t>
        </is>
      </c>
      <c r="D5">
        <f>LBO_Rollover50!H9</f>
        <v/>
      </c>
    </row>
    <row r="7">
      <c r="B7" s="103" t="inlineStr">
        <is>
          <t>Resultado (caso seleccionado)</t>
        </is>
      </c>
      <c r="C7" s="103" t="inlineStr">
        <is>
          <t>Sin palancas</t>
        </is>
      </c>
      <c r="D7" s="103" t="inlineStr">
        <is>
          <t>Con palancas</t>
        </is>
      </c>
      <c r="E7" s="103" t="inlineStr">
        <is>
          <t>Diferencia</t>
        </is>
      </c>
    </row>
    <row r="8">
      <c r="B8" t="inlineStr">
        <is>
          <t>TIR del sponsor</t>
        </is>
      </c>
      <c r="C8" s="104">
        <f>INDEX(Business_Plan!N49:N52,LBO_Rollover50!$F$9)</f>
        <v/>
      </c>
      <c r="D8" s="105">
        <f>LBO_Rollover50!F229</f>
        <v/>
      </c>
      <c r="E8" s="104">
        <f>D8-C8</f>
        <v/>
      </c>
    </row>
    <row r="9">
      <c r="B9" t="inlineStr">
        <is>
          <t>MoM del sponsor</t>
        </is>
      </c>
      <c r="C9" s="106">
        <f>INDEX(Business_Plan!O49:O52,LBO_Rollover50!$F$9)</f>
        <v/>
      </c>
      <c r="D9" s="107">
        <f>LBO_Rollover50!F230</f>
        <v/>
      </c>
      <c r="E9" s="106">
        <f>D9-C9</f>
        <v/>
      </c>
    </row>
    <row r="10">
      <c r="B10" t="inlineStr">
        <is>
          <t>DSCR mínimo 2026-30</t>
        </is>
      </c>
      <c r="C10" s="106">
        <f>INDEX(Business_Plan!P49:P52,LBO_Rollover50!$F$9)</f>
        <v/>
      </c>
      <c r="D10" s="107">
        <f>LBO_Rollover50!Q253</f>
        <v/>
      </c>
      <c r="E10" s="106">
        <f>D10-C10</f>
        <v/>
      </c>
    </row>
    <row r="11">
      <c r="B11" t="inlineStr">
        <is>
          <t>EBITDA pre-IFRS 16 2030 (€m)</t>
        </is>
      </c>
      <c r="C11" s="108">
        <f>INDEX(Business_Plan!Q49:Q52,LBO_Rollover50!$F$9)</f>
        <v/>
      </c>
      <c r="D11" s="109">
        <f>LBO_Rollover50!R29</f>
        <v/>
      </c>
      <c r="E11" s="108">
        <f>D11-C11</f>
        <v/>
      </c>
    </row>
    <row r="12">
      <c r="B12" t="inlineStr">
        <is>
          <t>Deuda senior neta / EBITDA 2030</t>
        </is>
      </c>
      <c r="C12" s="106">
        <f>INDEX(Business_Plan!R49:R52,LBO_Rollover50!$F$9)</f>
        <v/>
      </c>
      <c r="D12" s="107">
        <f>LBO_Rollover50!R134</f>
        <v/>
      </c>
      <c r="E12" s="106">
        <f>D12-C12</f>
        <v/>
      </c>
    </row>
    <row r="13">
      <c r="B13" t="inlineStr">
        <is>
          <t>Capex acumulado 2026-30 (€m)</t>
        </is>
      </c>
      <c r="C13" s="108">
        <f>INDEX(Business_Plan!S49:S52,LBO_Rollover50!$F$9)</f>
        <v/>
      </c>
      <c r="D13" s="109">
        <f>SUM(LBO_Rollover50!N58:R58)</f>
        <v/>
      </c>
      <c r="E13" s="108">
        <f>D13-C13</f>
        <v/>
      </c>
    </row>
    <row r="14">
      <c r="B14" t="inlineStr">
        <is>
          <t>Cheque en efectivo del sponsor (€m)</t>
        </is>
      </c>
      <c r="C14" s="108">
        <f>INDEX(Business_Plan!T49:T52,LBO_Rollover50!$F$9)</f>
        <v/>
      </c>
      <c r="D14" s="109">
        <f>LBO_Rollover50!E208</f>
        <v/>
      </c>
      <c r="E14" s="108">
        <f>D14-C14</f>
        <v/>
      </c>
    </row>
    <row r="15">
      <c r="B15" t="inlineStr">
        <is>
          <t>Dividendo del recap (€m)</t>
        </is>
      </c>
      <c r="C15" s="108">
        <f>0</f>
        <v/>
      </c>
      <c r="D15" s="109">
        <f>-SUM(LBO_Rollover50!N153:R153)</f>
        <v/>
      </c>
      <c r="E15" s="108">
        <f>D15-C15</f>
        <v/>
      </c>
    </row>
    <row r="16">
      <c r="B16" s="110" t="inlineStr">
        <is>
          <t>«Sin palancas» es el caso operativo elegido sin el plan; «Con palancas» es el modelo en vivo.</t>
        </is>
      </c>
    </row>
    <row r="18">
      <c r="B18" s="103" t="inlineStr">
        <is>
          <t>Palanca / parámetro</t>
        </is>
      </c>
      <c r="C18" s="103" t="inlineStr">
        <is>
          <t>Unidad</t>
        </is>
      </c>
      <c r="D18" s="103" t="inlineStr">
        <is>
          <t>Valor</t>
        </is>
      </c>
      <c r="E18" s="103" t="inlineStr">
        <is>
          <t>Banda</t>
        </is>
      </c>
      <c r="F18" s="103" t="inlineStr">
        <is>
          <t>Barómetro (izquierda = valor bajo · derecha = valor alto)</t>
        </is>
      </c>
      <c r="G18" s="103" t="n"/>
      <c r="H18" s="103" t="n"/>
      <c r="I18" s="103" t="n"/>
      <c r="J18" s="103" t="n"/>
      <c r="K18" s="103" t="n"/>
      <c r="L18" s="103" t="n"/>
      <c r="M18" s="103" t="n"/>
      <c r="N18" s="103" t="n"/>
      <c r="O18" s="103" t="n"/>
      <c r="P18" s="103" t="n"/>
      <c r="Q18" s="103" t="n"/>
      <c r="R18" s="103" t="inlineStr">
        <is>
          <t>Rangos por banda</t>
        </is>
      </c>
      <c r="S18" s="103" t="inlineStr">
        <is>
          <t>Dato que lo ancla</t>
        </is>
      </c>
    </row>
    <row r="19">
      <c r="B19" s="111" t="inlineStr">
        <is>
          <t>Expansión en EE. UU.</t>
        </is>
      </c>
      <c r="C19" t="inlineStr">
        <is>
          <t>Activa (1/0)</t>
        </is>
      </c>
      <c r="D19" s="102" t="n">
        <v>1</v>
      </c>
      <c r="R19" s="101" t="inlineStr">
        <is>
          <t>Abrir superficie de Zara, Bershka y Massimo Dutti en EE. UU. por encima del plan de Inditex.</t>
        </is>
      </c>
    </row>
    <row r="20">
      <c r="B20" t="inlineStr">
        <is>
          <t xml:space="preserve">   Superficie nueva al año</t>
        </is>
      </c>
      <c r="C20" t="inlineStr">
        <is>
          <t>miles m²</t>
        </is>
      </c>
      <c r="D20" s="112" t="n">
        <v>20</v>
      </c>
      <c r="E20">
        <f>IF($D20&lt;10.0,"Conservador",IF($D20&lt;25.0,"Normal",IF($D20&lt;45.0,"Optimista","Agresivo")))</f>
        <v/>
      </c>
      <c r="F20" s="113">
        <f>IF(AND($D20&gt;=0.0,$D20&lt;6.666666666666667),"▼","")</f>
        <v/>
      </c>
      <c r="G20" s="114">
        <f>IF(AND($D20&gt;=6.666666666666667,$D20&lt;13.333333333333334),"▼","")</f>
        <v/>
      </c>
      <c r="H20" s="114">
        <f>IF(AND($D20&gt;=13.333333333333334,$D20&lt;20.0),"▼","")</f>
        <v/>
      </c>
      <c r="I20" s="114">
        <f>IF(AND($D20&gt;=20.0,$D20&lt;26.666666666666668),"▼","")</f>
        <v/>
      </c>
      <c r="J20" s="115">
        <f>IF(AND($D20&gt;=26.666666666666668,$D20&lt;33.333333333333336),"▼","")</f>
        <v/>
      </c>
      <c r="K20" s="115">
        <f>IF(AND($D20&gt;=33.333333333333336,$D20&lt;40.0),"▼","")</f>
        <v/>
      </c>
      <c r="L20" s="115">
        <f>IF(AND($D20&gt;=40.0,$D20&lt;46.66666666666667),"▼","")</f>
        <v/>
      </c>
      <c r="M20" s="116">
        <f>IF(AND($D20&gt;=46.66666666666667,$D20&lt;53.333333333333336),"▼","")</f>
        <v/>
      </c>
      <c r="N20" s="116">
        <f>IF(AND($D20&gt;=53.333333333333336,$D20&lt;60.0),"▼","")</f>
        <v/>
      </c>
      <c r="O20" s="116">
        <f>IF(AND($D20&gt;=60.0,$D20&lt;66.66666666666667),"▼","")</f>
        <v/>
      </c>
      <c r="P20" s="116">
        <f>IF(AND($D20&gt;=66.66666666666667,$D20&lt;73.33333333333334),"▼","")</f>
        <v/>
      </c>
      <c r="Q20" s="116">
        <f>IF(AND($D20&gt;=73.33333333333334,$D20&lt;=80.0),"▼","")</f>
        <v/>
      </c>
      <c r="R20" t="inlineStr">
        <is>
          <t>Conservador 0–10 · Normal 10–25 · Optimista 25–45 · Agresivo 45–80</t>
        </is>
      </c>
      <c r="S20" s="117" t="inlineStr">
        <is>
          <t>Inditex prevé ≈ 5 % de espacio bruto en 2026 (≈ 236.000 m² en todo el mundo)</t>
        </is>
      </c>
    </row>
    <row r="21">
      <c r="B21" t="inlineStr">
        <is>
          <t xml:space="preserve">   Ventas por m² de una tienda madura</t>
        </is>
      </c>
      <c r="C21" t="inlineStr">
        <is>
          <t>€/m²</t>
        </is>
      </c>
      <c r="D21" s="118" t="n">
        <v>7500</v>
      </c>
      <c r="E21">
        <f>IF($D21&lt;6500.0,"Conservador",IF($D21&lt;8500.0,"Normal",IF($D21&lt;10000.0,"Optimista","Agresivo")))</f>
        <v/>
      </c>
      <c r="F21" s="113">
        <f>IF(AND($D21&gt;=5000.0,$D21&lt;5666.666666666667),"▼","")</f>
        <v/>
      </c>
      <c r="G21" s="113">
        <f>IF(AND($D21&gt;=5666.666666666667,$D21&lt;6333.333333333333),"▼","")</f>
        <v/>
      </c>
      <c r="H21" s="114">
        <f>IF(AND($D21&gt;=6333.333333333333,$D21&lt;7000.0),"▼","")</f>
        <v/>
      </c>
      <c r="I21" s="114">
        <f>IF(AND($D21&gt;=7000.0,$D21&lt;7666.666666666666),"▼","")</f>
        <v/>
      </c>
      <c r="J21" s="114">
        <f>IF(AND($D21&gt;=7666.666666666666,$D21&lt;8333.333333333332),"▼","")</f>
        <v/>
      </c>
      <c r="K21" s="115">
        <f>IF(AND($D21&gt;=8333.333333333332,$D21&lt;9000.0),"▼","")</f>
        <v/>
      </c>
      <c r="L21" s="115">
        <f>IF(AND($D21&gt;=9000.0,$D21&lt;9666.666666666666),"▼","")</f>
        <v/>
      </c>
      <c r="M21" s="116">
        <f>IF(AND($D21&gt;=9666.666666666666,$D21&lt;10333.333333333332),"▼","")</f>
        <v/>
      </c>
      <c r="N21" s="116">
        <f>IF(AND($D21&gt;=10333.333333333332,$D21&lt;11000.0),"▼","")</f>
        <v/>
      </c>
      <c r="O21" s="116">
        <f>IF(AND($D21&gt;=11000.0,$D21&lt;11666.666666666666),"▼","")</f>
        <v/>
      </c>
      <c r="P21" s="116">
        <f>IF(AND($D21&gt;=11666.666666666666,$D21&lt;12333.333333333332),"▼","")</f>
        <v/>
      </c>
      <c r="Q21" s="116">
        <f>IF(AND($D21&gt;=12333.333333333332,$D21&lt;=13000.0),"▼","")</f>
        <v/>
      </c>
      <c r="R21" t="inlineStr">
        <is>
          <t>Conservador 5.000–6.500 · Normal 6.500–8.500 · Optimista 8.500–10.000 · Agresivo 10.000–13.000</t>
        </is>
      </c>
      <c r="S21" s="117" t="inlineStr">
        <is>
          <t>Grupo 8.445 €/m²; Zara 8.819 €/m² (FY2025, online incluido)</t>
        </is>
      </c>
    </row>
    <row r="22">
      <c r="B22" t="inlineStr">
        <is>
          <t xml:space="preserve">   Margen EBITDA pre-IFRS 16 de la tienda madura</t>
        </is>
      </c>
      <c r="C22" t="inlineStr">
        <is>
          <t>%</t>
        </is>
      </c>
      <c r="D22" s="119" t="n">
        <v>0.17</v>
      </c>
      <c r="E22">
        <f>IF($D22&lt;0.14,"Conservador",IF($D22&lt;0.2,"Normal",IF($D22&lt;0.24,"Optimista","Agresivo")))</f>
        <v/>
      </c>
      <c r="F22" s="113">
        <f>IF(AND($D22&gt;=0.08,$D22&lt;0.09833333333333333),"▼","")</f>
        <v/>
      </c>
      <c r="G22" s="113">
        <f>IF(AND($D22&gt;=0.09833333333333333,$D22&lt;0.11666666666666667),"▼","")</f>
        <v/>
      </c>
      <c r="H22" s="113">
        <f>IF(AND($D22&gt;=0.11666666666666667,$D22&lt;0.135),"▼","")</f>
        <v/>
      </c>
      <c r="I22" s="114">
        <f>IF(AND($D22&gt;=0.135,$D22&lt;0.15333333333333332),"▼","")</f>
        <v/>
      </c>
      <c r="J22" s="114">
        <f>IF(AND($D22&gt;=0.15333333333333332,$D22&lt;0.17166666666666663),"▼","")</f>
        <v/>
      </c>
      <c r="K22" s="114">
        <f>IF(AND($D22&gt;=0.17166666666666663,$D22&lt;0.19),"▼","")</f>
        <v/>
      </c>
      <c r="L22" s="114">
        <f>IF(AND($D22&gt;=0.19,$D22&lt;0.20833333333333331),"▼","")</f>
        <v/>
      </c>
      <c r="M22" s="115">
        <f>IF(AND($D22&gt;=0.20833333333333331,$D22&lt;0.22666666666666663),"▼","")</f>
        <v/>
      </c>
      <c r="N22" s="115">
        <f>IF(AND($D22&gt;=0.22666666666666663,$D22&lt;0.245),"▼","")</f>
        <v/>
      </c>
      <c r="O22" s="116">
        <f>IF(AND($D22&gt;=0.245,$D22&lt;0.2633333333333333),"▼","")</f>
        <v/>
      </c>
      <c r="P22" s="116">
        <f>IF(AND($D22&gt;=0.2633333333333333,$D22&lt;0.2816666666666666),"▼","")</f>
        <v/>
      </c>
      <c r="Q22" s="116">
        <f>IF(AND($D22&gt;=0.2816666666666666,$D22&lt;=0.3),"▼","")</f>
        <v/>
      </c>
      <c r="R22" t="inlineStr">
        <is>
          <t>Conservador 8%–14% · Normal 14%–20% · Optimista 20%–24% · Agresivo 24%–30%</t>
        </is>
      </c>
      <c r="S22" s="117" t="inlineStr">
        <is>
          <t>Grupo 23,7 %. EE. UU. ganó 396 M€ antes de impuestos, -5 % en 2025</t>
        </is>
      </c>
    </row>
    <row r="23">
      <c r="B23" t="inlineStr">
        <is>
          <t xml:space="preserve">   Capex por m² abierto</t>
        </is>
      </c>
      <c r="C23" t="inlineStr">
        <is>
          <t>€/m²</t>
        </is>
      </c>
      <c r="D23" s="118" t="n">
        <v>6000</v>
      </c>
      <c r="E23">
        <f>IF($D23&lt;3500.0,"Agresivo",IF($D23&lt;5000.0,"Optimista",IF($D23&lt;7000.0,"Normal","Conservador")))</f>
        <v/>
      </c>
      <c r="F23" s="116">
        <f>IF(AND($D23&gt;=2000.0,$D23&lt;2583.3333333333335),"▼","")</f>
        <v/>
      </c>
      <c r="G23" s="116">
        <f>IF(AND($D23&gt;=2583.3333333333335,$D23&lt;3166.666666666667),"▼","")</f>
        <v/>
      </c>
      <c r="H23" s="116">
        <f>IF(AND($D23&gt;=3166.666666666667,$D23&lt;3750.0),"▼","")</f>
        <v/>
      </c>
      <c r="I23" s="115">
        <f>IF(AND($D23&gt;=3750.0,$D23&lt;4333.333333333334),"▼","")</f>
        <v/>
      </c>
      <c r="J23" s="115">
        <f>IF(AND($D23&gt;=4333.333333333334,$D23&lt;4916.666666666667),"▼","")</f>
        <v/>
      </c>
      <c r="K23" s="114">
        <f>IF(AND($D23&gt;=4916.666666666667,$D23&lt;5500.0),"▼","")</f>
        <v/>
      </c>
      <c r="L23" s="114">
        <f>IF(AND($D23&gt;=5500.0,$D23&lt;6083.333333333334),"▼","")</f>
        <v/>
      </c>
      <c r="M23" s="114">
        <f>IF(AND($D23&gt;=6083.333333333334,$D23&lt;6666.666666666667),"▼","")</f>
        <v/>
      </c>
      <c r="N23" s="114">
        <f>IF(AND($D23&gt;=6666.666666666667,$D23&lt;7250.0),"▼","")</f>
        <v/>
      </c>
      <c r="O23" s="113">
        <f>IF(AND($D23&gt;=7250.0,$D23&lt;7833.333333333334),"▼","")</f>
        <v/>
      </c>
      <c r="P23" s="113">
        <f>IF(AND($D23&gt;=7833.333333333334,$D23&lt;8416.666666666668),"▼","")</f>
        <v/>
      </c>
      <c r="Q23" s="113">
        <f>IF(AND($D23&gt;=8416.666666666668,$D23&lt;=9000.0),"▼","")</f>
        <v/>
      </c>
      <c r="R23" t="inlineStr">
        <is>
          <t>Conservador 7.000–9.000 · Normal 5.000–7.000 · Optimista 3.500–5.000 · Agresivo 2.000–3.500</t>
        </is>
      </c>
      <c r="S23" s="117" t="inlineStr">
        <is>
          <t>Capex ordinario 2025 / m² brutos abiertos ≈ 7.400 €/m² (con IT)</t>
        </is>
      </c>
    </row>
    <row r="24">
      <c r="B24" t="inlineStr">
        <is>
          <t xml:space="preserve">   Canibalización (ventas que se quitan a otras tiendas y al online)</t>
        </is>
      </c>
      <c r="C24" t="inlineStr">
        <is>
          <t>%</t>
        </is>
      </c>
      <c r="D24" s="120" t="n">
        <v>0.15</v>
      </c>
      <c r="E24">
        <f>IF($D24&lt;0.05,"Agresivo",IF($D24&lt;0.1,"Optimista",IF($D24&lt;0.25,"Normal","Conservador")))</f>
        <v/>
      </c>
      <c r="F24" s="116">
        <f>IF(AND($D24&gt;=0.0,$D24&lt;0.03333333333333333),"▼","")</f>
        <v/>
      </c>
      <c r="G24" s="115">
        <f>IF(AND($D24&gt;=0.03333333333333333,$D24&lt;0.06666666666666667),"▼","")</f>
        <v/>
      </c>
      <c r="H24" s="115">
        <f>IF(AND($D24&gt;=0.06666666666666667,$D24&lt;0.1),"▼","")</f>
        <v/>
      </c>
      <c r="I24" s="114">
        <f>IF(AND($D24&gt;=0.1,$D24&lt;0.13333333333333333),"▼","")</f>
        <v/>
      </c>
      <c r="J24" s="114">
        <f>IF(AND($D24&gt;=0.13333333333333333,$D24&lt;0.16666666666666666),"▼","")</f>
        <v/>
      </c>
      <c r="K24" s="114">
        <f>IF(AND($D24&gt;=0.16666666666666666,$D24&lt;0.2),"▼","")</f>
        <v/>
      </c>
      <c r="L24" s="114">
        <f>IF(AND($D24&gt;=0.2,$D24&lt;0.23333333333333334),"▼","")</f>
        <v/>
      </c>
      <c r="M24" s="113">
        <f>IF(AND($D24&gt;=0.23333333333333334,$D24&lt;0.26666666666666666),"▼","")</f>
        <v/>
      </c>
      <c r="N24" s="113">
        <f>IF(AND($D24&gt;=0.26666666666666666,$D24&lt;0.3),"▼","")</f>
        <v/>
      </c>
      <c r="O24" s="113">
        <f>IF(AND($D24&gt;=0.3,$D24&lt;0.3333333333333333),"▼","")</f>
        <v/>
      </c>
      <c r="P24" s="113">
        <f>IF(AND($D24&gt;=0.3333333333333333,$D24&lt;0.36666666666666664),"▼","")</f>
        <v/>
      </c>
      <c r="Q24" s="113">
        <f>IF(AND($D24&gt;=0.36666666666666664,$D24&lt;=0.4),"▼","")</f>
        <v/>
      </c>
      <c r="R24" t="inlineStr">
        <is>
          <t>Conservador 25%–40% · Normal 10%–25% · Optimista 5%–10% · Agresivo 0%–5%</t>
        </is>
      </c>
      <c r="S24" s="117" t="inlineStr">
        <is>
          <t>Online = 27 % de las ventas: una tienda nueva le quita clientes</t>
        </is>
      </c>
    </row>
    <row r="26">
      <c r="B26" s="111" t="inlineStr">
        <is>
          <t>Marcas jóvenes (Stradivarius, Oysho, Bershka)</t>
        </is>
      </c>
      <c r="C26" t="inlineStr">
        <is>
          <t>Activa (1/0)</t>
        </is>
      </c>
      <c r="D26" s="102" t="n">
        <v>1</v>
      </c>
      <c r="R26" s="101" t="inlineStr">
        <is>
          <t>Acelerar aperturas de las marcas con mayor ROCE y crecimiento en mercados donde ya están.</t>
        </is>
      </c>
    </row>
    <row r="27">
      <c r="B27" t="inlineStr">
        <is>
          <t xml:space="preserve">   Superficie nueva al año</t>
        </is>
      </c>
      <c r="C27" t="inlineStr">
        <is>
          <t>miles m²</t>
        </is>
      </c>
      <c r="D27" s="112" t="n">
        <v>25</v>
      </c>
      <c r="E27">
        <f>IF($D27&lt;15.0,"Conservador",IF($D27&lt;35.0,"Normal",IF($D27&lt;60.0,"Optimista","Agresivo")))</f>
        <v/>
      </c>
      <c r="F27" s="113">
        <f>IF(AND($D27&gt;=0.0,$D27&lt;8.333333333333334),"▼","")</f>
        <v/>
      </c>
      <c r="G27" s="113">
        <f>IF(AND($D27&gt;=8.333333333333334,$D27&lt;16.666666666666668),"▼","")</f>
        <v/>
      </c>
      <c r="H27" s="114">
        <f>IF(AND($D27&gt;=16.666666666666668,$D27&lt;25.0),"▼","")</f>
        <v/>
      </c>
      <c r="I27" s="114">
        <f>IF(AND($D27&gt;=25.0,$D27&lt;33.333333333333336),"▼","")</f>
        <v/>
      </c>
      <c r="J27" s="115">
        <f>IF(AND($D27&gt;=33.333333333333336,$D27&lt;41.66666666666667),"▼","")</f>
        <v/>
      </c>
      <c r="K27" s="115">
        <f>IF(AND($D27&gt;=41.66666666666667,$D27&lt;50.0),"▼","")</f>
        <v/>
      </c>
      <c r="L27" s="115">
        <f>IF(AND($D27&gt;=50.0,$D27&lt;58.333333333333336),"▼","")</f>
        <v/>
      </c>
      <c r="M27" s="116">
        <f>IF(AND($D27&gt;=58.333333333333336,$D27&lt;66.66666666666667),"▼","")</f>
        <v/>
      </c>
      <c r="N27" s="116">
        <f>IF(AND($D27&gt;=66.66666666666667,$D27&lt;75.0),"▼","")</f>
        <v/>
      </c>
      <c r="O27" s="116">
        <f>IF(AND($D27&gt;=75.0,$D27&lt;83.33333333333334),"▼","")</f>
        <v/>
      </c>
      <c r="P27" s="116">
        <f>IF(AND($D27&gt;=83.33333333333334,$D27&lt;91.66666666666667),"▼","")</f>
        <v/>
      </c>
      <c r="Q27" s="116">
        <f>IF(AND($D27&gt;=91.66666666666667,$D27&lt;=100.0),"▼","")</f>
        <v/>
      </c>
      <c r="R27" t="inlineStr">
        <is>
          <t>Conservador 0–15 · Normal 15–35 · Optimista 35–60 · Agresivo 60–100</t>
        </is>
      </c>
      <c r="S27" s="117" t="inlineStr">
        <is>
          <t>Las tres marcas suman 918.000 m²; crecer un 3-4 % son 30-35.000 m²</t>
        </is>
      </c>
    </row>
    <row r="28">
      <c r="B28" t="inlineStr">
        <is>
          <t xml:space="preserve">   Ventas por m² de una tienda madura</t>
        </is>
      </c>
      <c r="C28" t="inlineStr">
        <is>
          <t>€/m²</t>
        </is>
      </c>
      <c r="D28" s="118" t="n">
        <v>7900</v>
      </c>
      <c r="E28">
        <f>IF($D28&lt;6800.0,"Conservador",IF($D28&lt;8500.0,"Normal",IF($D28&lt;10000.0,"Optimista","Agresivo")))</f>
        <v/>
      </c>
      <c r="F28" s="113">
        <f>IF(AND($D28&gt;=5500.0,$D28&lt;6041.666666666667),"▼","")</f>
        <v/>
      </c>
      <c r="G28" s="113">
        <f>IF(AND($D28&gt;=6041.666666666667,$D28&lt;6583.333333333333),"▼","")</f>
        <v/>
      </c>
      <c r="H28" s="114">
        <f>IF(AND($D28&gt;=6583.333333333333,$D28&lt;7125.0),"▼","")</f>
        <v/>
      </c>
      <c r="I28" s="114">
        <f>IF(AND($D28&gt;=7125.0,$D28&lt;7666.666666666666),"▼","")</f>
        <v/>
      </c>
      <c r="J28" s="114">
        <f>IF(AND($D28&gt;=7666.666666666666,$D28&lt;8208.333333333332),"▼","")</f>
        <v/>
      </c>
      <c r="K28" s="114">
        <f>IF(AND($D28&gt;=8208.333333333332,$D28&lt;8750.0),"▼","")</f>
        <v/>
      </c>
      <c r="L28" s="115">
        <f>IF(AND($D28&gt;=8750.0,$D28&lt;9291.666666666666),"▼","")</f>
        <v/>
      </c>
      <c r="M28" s="115">
        <f>IF(AND($D28&gt;=9291.666666666666,$D28&lt;9833.333333333332),"▼","")</f>
        <v/>
      </c>
      <c r="N28" s="116">
        <f>IF(AND($D28&gt;=9833.333333333332,$D28&lt;10375.0),"▼","")</f>
        <v/>
      </c>
      <c r="O28" s="116">
        <f>IF(AND($D28&gt;=10375.0,$D28&lt;10916.666666666666),"▼","")</f>
        <v/>
      </c>
      <c r="P28" s="116">
        <f>IF(AND($D28&gt;=10916.666666666666,$D28&lt;11458.333333333332),"▼","")</f>
        <v/>
      </c>
      <c r="Q28" s="116">
        <f>IF(AND($D28&gt;=11458.333333333332,$D28&lt;=12000.0),"▼","")</f>
        <v/>
      </c>
      <c r="R28" t="inlineStr">
        <is>
          <t>Conservador 5.500–6.800 · Normal 6.800–8.500 · Optimista 8.500–10.000 · Agresivo 10.000–12.000</t>
        </is>
      </c>
      <c r="S28" s="117" t="inlineStr">
        <is>
          <t>Media ponderada FY2025: Bershka 6.656, Stradivarius 9.149, Oysho 10.009 €/m²</t>
        </is>
      </c>
    </row>
    <row r="29">
      <c r="B29" t="inlineStr">
        <is>
          <t xml:space="preserve">   Margen EBITDA pre-IFRS 16 de la tienda madura</t>
        </is>
      </c>
      <c r="C29" t="inlineStr">
        <is>
          <t>%</t>
        </is>
      </c>
      <c r="D29" s="119" t="n">
        <v>0.24</v>
      </c>
      <c r="E29">
        <f>IF($D29&lt;0.22,"Conservador",IF($D29&lt;0.27,"Normal",IF($D29&lt;0.31,"Optimista","Agresivo")))</f>
        <v/>
      </c>
      <c r="F29" s="113">
        <f>IF(AND($D29&gt;=0.15,$D29&lt;0.16749999999999998),"▼","")</f>
        <v/>
      </c>
      <c r="G29" s="113">
        <f>IF(AND($D29&gt;=0.16749999999999998,$D29&lt;0.185),"▼","")</f>
        <v/>
      </c>
      <c r="H29" s="113">
        <f>IF(AND($D29&gt;=0.185,$D29&lt;0.20249999999999999),"▼","")</f>
        <v/>
      </c>
      <c r="I29" s="113">
        <f>IF(AND($D29&gt;=0.20249999999999999,$D29&lt;0.21999999999999997),"▼","")</f>
        <v/>
      </c>
      <c r="J29" s="114">
        <f>IF(AND($D29&gt;=0.21999999999999997,$D29&lt;0.2375),"▼","")</f>
        <v/>
      </c>
      <c r="K29" s="114">
        <f>IF(AND($D29&gt;=0.2375,$D29&lt;0.255),"▼","")</f>
        <v/>
      </c>
      <c r="L29" s="114">
        <f>IF(AND($D29&gt;=0.255,$D29&lt;0.27249999999999996),"▼","")</f>
        <v/>
      </c>
      <c r="M29" s="115">
        <f>IF(AND($D29&gt;=0.27249999999999996,$D29&lt;0.29),"▼","")</f>
        <v/>
      </c>
      <c r="N29" s="115">
        <f>IF(AND($D29&gt;=0.29,$D29&lt;0.3075),"▼","")</f>
        <v/>
      </c>
      <c r="O29" s="116">
        <f>IF(AND($D29&gt;=0.3075,$D29&lt;0.32499999999999996),"▼","")</f>
        <v/>
      </c>
      <c r="P29" s="116">
        <f>IF(AND($D29&gt;=0.32499999999999996,$D29&lt;0.34249999999999997),"▼","")</f>
        <v/>
      </c>
      <c r="Q29" s="116">
        <f>IF(AND($D29&gt;=0.34249999999999997,$D29&lt;=0.36),"▼","")</f>
        <v/>
      </c>
      <c r="R29" t="inlineStr">
        <is>
          <t>Conservador 15%–22% · Normal 22%–27% · Optimista 27%–31% · Agresivo 31%–36%</t>
        </is>
      </c>
      <c r="S29" s="117" t="inlineStr">
        <is>
          <t>ROCE FY2025: Stradivarius 72 %, Oysho 63 %, Bershka 50 % (grupo 40 %)</t>
        </is>
      </c>
    </row>
    <row r="30">
      <c r="B30" t="inlineStr">
        <is>
          <t xml:space="preserve">   Capex por m² abierto</t>
        </is>
      </c>
      <c r="C30" t="inlineStr">
        <is>
          <t>€/m²</t>
        </is>
      </c>
      <c r="D30" s="118" t="n">
        <v>4200</v>
      </c>
      <c r="E30">
        <f>IF($D30&lt;2500.0,"Agresivo",IF($D30&lt;3500.0,"Optimista",IF($D30&lt;5000.0,"Normal","Conservador")))</f>
        <v/>
      </c>
      <c r="F30" s="116">
        <f>IF(AND($D30&gt;=1500.0,$D30&lt;1916.6666666666667),"▼","")</f>
        <v/>
      </c>
      <c r="G30" s="116">
        <f>IF(AND($D30&gt;=1916.6666666666667,$D30&lt;2333.3333333333335),"▼","")</f>
        <v/>
      </c>
      <c r="H30" s="115">
        <f>IF(AND($D30&gt;=2333.3333333333335,$D30&lt;2750.0),"▼","")</f>
        <v/>
      </c>
      <c r="I30" s="115">
        <f>IF(AND($D30&gt;=2750.0,$D30&lt;3166.666666666667),"▼","")</f>
        <v/>
      </c>
      <c r="J30" s="115">
        <f>IF(AND($D30&gt;=3166.666666666667,$D30&lt;3583.3333333333335),"▼","")</f>
        <v/>
      </c>
      <c r="K30" s="114">
        <f>IF(AND($D30&gt;=3583.3333333333335,$D30&lt;4000.0),"▼","")</f>
        <v/>
      </c>
      <c r="L30" s="114">
        <f>IF(AND($D30&gt;=4000.0,$D30&lt;4416.666666666667),"▼","")</f>
        <v/>
      </c>
      <c r="M30" s="114">
        <f>IF(AND($D30&gt;=4416.666666666667,$D30&lt;4833.333333333334),"▼","")</f>
        <v/>
      </c>
      <c r="N30" s="113">
        <f>IF(AND($D30&gt;=4833.333333333334,$D30&lt;5250.0),"▼","")</f>
        <v/>
      </c>
      <c r="O30" s="113">
        <f>IF(AND($D30&gt;=5250.0,$D30&lt;5666.666666666667),"▼","")</f>
        <v/>
      </c>
      <c r="P30" s="113">
        <f>IF(AND($D30&gt;=5666.666666666667,$D30&lt;6083.333333333334),"▼","")</f>
        <v/>
      </c>
      <c r="Q30" s="113">
        <f>IF(AND($D30&gt;=6083.333333333334,$D30&lt;=6500.0),"▼","")</f>
        <v/>
      </c>
      <c r="R30" t="inlineStr">
        <is>
          <t>Conservador 5.000–6.500 · Normal 3.500–5.000 · Optimista 2.500–3.500 · Agresivo 1.500–2.500</t>
        </is>
      </c>
      <c r="S30" s="117" t="inlineStr">
        <is>
          <t>Tiendas más pequeñas y baratas de montar que un flagship de Zara</t>
        </is>
      </c>
    </row>
    <row r="31">
      <c r="B31" t="inlineStr">
        <is>
          <t xml:space="preserve">   Canibalización (ventas que se quitan a otras tiendas y al online)</t>
        </is>
      </c>
      <c r="C31" t="inlineStr">
        <is>
          <t>%</t>
        </is>
      </c>
      <c r="D31" s="120" t="n">
        <v>0.2</v>
      </c>
      <c r="E31">
        <f>IF($D31&lt;0.05,"Agresivo",IF($D31&lt;0.15,"Optimista",IF($D31&lt;0.3,"Normal","Conservador")))</f>
        <v/>
      </c>
      <c r="F31" s="116">
        <f>IF(AND($D31&gt;=0.0,$D31&lt;0.0375),"▼","")</f>
        <v/>
      </c>
      <c r="G31" s="115">
        <f>IF(AND($D31&gt;=0.0375,$D31&lt;0.075),"▼","")</f>
        <v/>
      </c>
      <c r="H31" s="115">
        <f>IF(AND($D31&gt;=0.075,$D31&lt;0.11249999999999999),"▼","")</f>
        <v/>
      </c>
      <c r="I31" s="115">
        <f>IF(AND($D31&gt;=0.11249999999999999,$D31&lt;0.15),"▼","")</f>
        <v/>
      </c>
      <c r="J31" s="114">
        <f>IF(AND($D31&gt;=0.15,$D31&lt;0.1875),"▼","")</f>
        <v/>
      </c>
      <c r="K31" s="114">
        <f>IF(AND($D31&gt;=0.1875,$D31&lt;0.22499999999999998),"▼","")</f>
        <v/>
      </c>
      <c r="L31" s="114">
        <f>IF(AND($D31&gt;=0.22499999999999998,$D31&lt;0.2625),"▼","")</f>
        <v/>
      </c>
      <c r="M31" s="114">
        <f>IF(AND($D31&gt;=0.2625,$D31&lt;0.3),"▼","")</f>
        <v/>
      </c>
      <c r="N31" s="113">
        <f>IF(AND($D31&gt;=0.3,$D31&lt;0.33749999999999997),"▼","")</f>
        <v/>
      </c>
      <c r="O31" s="113">
        <f>IF(AND($D31&gt;=0.33749999999999997,$D31&lt;0.375),"▼","")</f>
        <v/>
      </c>
      <c r="P31" s="113">
        <f>IF(AND($D31&gt;=0.375,$D31&lt;0.4125),"▼","")</f>
        <v/>
      </c>
      <c r="Q31" s="113">
        <f>IF(AND($D31&gt;=0.4125,$D31&lt;=0.44999999999999996),"▼","")</f>
        <v/>
      </c>
      <c r="R31" t="inlineStr">
        <is>
          <t>Conservador 30%–45% · Normal 15%–30% · Optimista 5%–15% · Agresivo 0%–5%</t>
        </is>
      </c>
      <c r="S31" s="117" t="inlineStr">
        <is>
          <t>Mismos mercados y clientela parecida a Zara y Pull&amp;Bear</t>
        </is>
      </c>
    </row>
    <row r="33">
      <c r="B33" s="111" t="inlineStr">
        <is>
          <t>Lefties frente a Shein y Temu</t>
        </is>
      </c>
      <c r="C33" t="inlineStr">
        <is>
          <t>Activa (1/0)</t>
        </is>
      </c>
      <c r="D33" s="102" t="n">
        <v>1</v>
      </c>
      <c r="R33" s="101" t="inlineStr">
        <is>
          <t>Formato de precio bajo para defender cuota frente a la moda ultrarrápida online.</t>
        </is>
      </c>
    </row>
    <row r="34">
      <c r="B34" t="inlineStr">
        <is>
          <t xml:space="preserve">   Superficie nueva al año</t>
        </is>
      </c>
      <c r="C34" t="inlineStr">
        <is>
          <t>miles m²</t>
        </is>
      </c>
      <c r="D34" s="112" t="n">
        <v>10</v>
      </c>
      <c r="E34">
        <f>IF($D34&lt;5.0,"Conservador",IF($D34&lt;20.0,"Normal",IF($D34&lt;40.0,"Optimista","Agresivo")))</f>
        <v/>
      </c>
      <c r="F34" s="113">
        <f>IF(AND($D34&gt;=0.0,$D34&lt;5.833333333333333),"▼","")</f>
        <v/>
      </c>
      <c r="G34" s="114">
        <f>IF(AND($D34&gt;=5.833333333333333,$D34&lt;11.666666666666666),"▼","")</f>
        <v/>
      </c>
      <c r="H34" s="114">
        <f>IF(AND($D34&gt;=11.666666666666666,$D34&lt;17.5),"▼","")</f>
        <v/>
      </c>
      <c r="I34" s="115">
        <f>IF(AND($D34&gt;=17.5,$D34&lt;23.333333333333332),"▼","")</f>
        <v/>
      </c>
      <c r="J34" s="115">
        <f>IF(AND($D34&gt;=23.333333333333332,$D34&lt;29.166666666666664),"▼","")</f>
        <v/>
      </c>
      <c r="K34" s="115">
        <f>IF(AND($D34&gt;=29.166666666666664,$D34&lt;35.0),"▼","")</f>
        <v/>
      </c>
      <c r="L34" s="115">
        <f>IF(AND($D34&gt;=35.0,$D34&lt;40.83333333333333),"▼","")</f>
        <v/>
      </c>
      <c r="M34" s="116">
        <f>IF(AND($D34&gt;=40.83333333333333,$D34&lt;46.666666666666664),"▼","")</f>
        <v/>
      </c>
      <c r="N34" s="116">
        <f>IF(AND($D34&gt;=46.666666666666664,$D34&lt;52.5),"▼","")</f>
        <v/>
      </c>
      <c r="O34" s="116">
        <f>IF(AND($D34&gt;=52.5,$D34&lt;58.33333333333333),"▼","")</f>
        <v/>
      </c>
      <c r="P34" s="116">
        <f>IF(AND($D34&gt;=58.33333333333333,$D34&lt;64.16666666666666),"▼","")</f>
        <v/>
      </c>
      <c r="Q34" s="116">
        <f>IF(AND($D34&gt;=64.16666666666666,$D34&lt;=70.0),"▼","")</f>
        <v/>
      </c>
      <c r="R34" t="inlineStr">
        <is>
          <t>Conservador 0–5 · Normal 5–20 · Optimista 20–40 · Agresivo 40–70</t>
        </is>
      </c>
      <c r="S34" s="117" t="inlineStr">
        <is>
          <t>215 tiendas Lefties a cierre de 2025 (209 en 2024)</t>
        </is>
      </c>
    </row>
    <row r="35">
      <c r="B35" t="inlineStr">
        <is>
          <t xml:space="preserve">   Ventas por m² de una tienda madura</t>
        </is>
      </c>
      <c r="C35" t="inlineStr">
        <is>
          <t>€/m²</t>
        </is>
      </c>
      <c r="D35" s="118" t="n">
        <v>4800</v>
      </c>
      <c r="E35">
        <f>IF($D35&lt;4000.0,"Conservador",IF($D35&lt;5500.0,"Normal",IF($D35&lt;7000.0,"Optimista","Agresivo")))</f>
        <v/>
      </c>
      <c r="F35" s="113">
        <f>IF(AND($D35&gt;=3000.0,$D35&lt;3458.3333333333335),"▼","")</f>
        <v/>
      </c>
      <c r="G35" s="113">
        <f>IF(AND($D35&gt;=3458.3333333333335,$D35&lt;3916.6666666666665),"▼","")</f>
        <v/>
      </c>
      <c r="H35" s="114">
        <f>IF(AND($D35&gt;=3916.6666666666665,$D35&lt;4375.0),"▼","")</f>
        <v/>
      </c>
      <c r="I35" s="114">
        <f>IF(AND($D35&gt;=4375.0,$D35&lt;4833.333333333333),"▼","")</f>
        <v/>
      </c>
      <c r="J35" s="114">
        <f>IF(AND($D35&gt;=4833.333333333333,$D35&lt;5291.666666666666),"▼","")</f>
        <v/>
      </c>
      <c r="K35" s="115">
        <f>IF(AND($D35&gt;=5291.666666666666,$D35&lt;5750.0),"▼","")</f>
        <v/>
      </c>
      <c r="L35" s="115">
        <f>IF(AND($D35&gt;=5750.0,$D35&lt;6208.333333333333),"▼","")</f>
        <v/>
      </c>
      <c r="M35" s="115">
        <f>IF(AND($D35&gt;=6208.333333333333,$D35&lt;6666.666666666666),"▼","")</f>
        <v/>
      </c>
      <c r="N35" s="115">
        <f>IF(AND($D35&gt;=6666.666666666666,$D35&lt;7125.0),"▼","")</f>
        <v/>
      </c>
      <c r="O35" s="116">
        <f>IF(AND($D35&gt;=7125.0,$D35&lt;7583.333333333333),"▼","")</f>
        <v/>
      </c>
      <c r="P35" s="116">
        <f>IF(AND($D35&gt;=7583.333333333333,$D35&lt;8041.666666666666),"▼","")</f>
        <v/>
      </c>
      <c r="Q35" s="116">
        <f>IF(AND($D35&gt;=8041.666666666666,$D35&lt;=8500.0),"▼","")</f>
        <v/>
      </c>
      <c r="R35" t="inlineStr">
        <is>
          <t>Conservador 3.000–4.000 · Normal 4.000–5.500 · Optimista 5.500–7.000 · Agresivo 7.000–8.500</t>
        </is>
      </c>
      <c r="S35" s="117" t="inlineStr">
        <is>
          <t>Precio medio muy inferior a Zara: densidad por debajo del grupo</t>
        </is>
      </c>
    </row>
    <row r="36">
      <c r="B36" t="inlineStr">
        <is>
          <t xml:space="preserve">   Margen EBITDA pre-IFRS 16 de la tienda madura</t>
        </is>
      </c>
      <c r="C36" t="inlineStr">
        <is>
          <t>%</t>
        </is>
      </c>
      <c r="D36" s="119" t="n">
        <v>0.14</v>
      </c>
      <c r="E36">
        <f>IF($D36&lt;0.12,"Conservador",IF($D36&lt;0.17,"Normal",IF($D36&lt;0.21,"Optimista","Agresivo")))</f>
        <v/>
      </c>
      <c r="F36" s="113">
        <f>IF(AND($D36&gt;=0.06,$D36&lt;0.07583333333333334),"▼","")</f>
        <v/>
      </c>
      <c r="G36" s="113">
        <f>IF(AND($D36&gt;=0.07583333333333334,$D36&lt;0.09166666666666667),"▼","")</f>
        <v/>
      </c>
      <c r="H36" s="113">
        <f>IF(AND($D36&gt;=0.09166666666666667,$D36&lt;0.1075),"▼","")</f>
        <v/>
      </c>
      <c r="I36" s="113">
        <f>IF(AND($D36&gt;=0.1075,$D36&lt;0.12333333333333334),"▼","")</f>
        <v/>
      </c>
      <c r="J36" s="114">
        <f>IF(AND($D36&gt;=0.12333333333333334,$D36&lt;0.13916666666666666),"▼","")</f>
        <v/>
      </c>
      <c r="K36" s="114">
        <f>IF(AND($D36&gt;=0.13916666666666666,$D36&lt;0.155),"▼","")</f>
        <v/>
      </c>
      <c r="L36" s="114">
        <f>IF(AND($D36&gt;=0.155,$D36&lt;0.17083333333333334),"▼","")</f>
        <v/>
      </c>
      <c r="M36" s="115">
        <f>IF(AND($D36&gt;=0.17083333333333334,$D36&lt;0.18666666666666668),"▼","")</f>
        <v/>
      </c>
      <c r="N36" s="115">
        <f>IF(AND($D36&gt;=0.18666666666666668,$D36&lt;0.2025),"▼","")</f>
        <v/>
      </c>
      <c r="O36" s="116">
        <f>IF(AND($D36&gt;=0.2025,$D36&lt;0.21833333333333335),"▼","")</f>
        <v/>
      </c>
      <c r="P36" s="116">
        <f>IF(AND($D36&gt;=0.21833333333333335,$D36&lt;0.2341666666666667),"▼","")</f>
        <v/>
      </c>
      <c r="Q36" s="116">
        <f>IF(AND($D36&gt;=0.2341666666666667,$D36&lt;=0.25),"▼","")</f>
        <v/>
      </c>
      <c r="R36" t="inlineStr">
        <is>
          <t>Conservador 6%–12% · Normal 12%–17% · Optimista 17%–21% · Agresivo 21%–25%</t>
        </is>
      </c>
      <c r="S36" s="117" t="inlineStr">
        <is>
          <t>Margen bruto menor que el grupo (precio bajo)</t>
        </is>
      </c>
    </row>
    <row r="37">
      <c r="B37" t="inlineStr">
        <is>
          <t xml:space="preserve">   Capex por m² abierto</t>
        </is>
      </c>
      <c r="C37" t="inlineStr">
        <is>
          <t>€/m²</t>
        </is>
      </c>
      <c r="D37" s="118" t="n">
        <v>3000</v>
      </c>
      <c r="E37">
        <f>IF($D37&lt;1800.0,"Agresivo",IF($D37&lt;2500.0,"Optimista",IF($D37&lt;3500.0,"Normal","Conservador")))</f>
        <v/>
      </c>
      <c r="F37" s="116">
        <f>IF(AND($D37&gt;=1000.0,$D37&lt;1291.6666666666667),"▼","")</f>
        <v/>
      </c>
      <c r="G37" s="116">
        <f>IF(AND($D37&gt;=1291.6666666666667,$D37&lt;1583.3333333333335),"▼","")</f>
        <v/>
      </c>
      <c r="H37" s="116">
        <f>IF(AND($D37&gt;=1583.3333333333335,$D37&lt;1875.0),"▼","")</f>
        <v/>
      </c>
      <c r="I37" s="115">
        <f>IF(AND($D37&gt;=1875.0,$D37&lt;2166.666666666667),"▼","")</f>
        <v/>
      </c>
      <c r="J37" s="115">
        <f>IF(AND($D37&gt;=2166.666666666667,$D37&lt;2458.3333333333335),"▼","")</f>
        <v/>
      </c>
      <c r="K37" s="114">
        <f>IF(AND($D37&gt;=2458.3333333333335,$D37&lt;2750.0),"▼","")</f>
        <v/>
      </c>
      <c r="L37" s="114">
        <f>IF(AND($D37&gt;=2750.0,$D37&lt;3041.666666666667),"▼","")</f>
        <v/>
      </c>
      <c r="M37" s="114">
        <f>IF(AND($D37&gt;=3041.666666666667,$D37&lt;3333.3333333333335),"▼","")</f>
        <v/>
      </c>
      <c r="N37" s="114">
        <f>IF(AND($D37&gt;=3333.3333333333335,$D37&lt;3625.0),"▼","")</f>
        <v/>
      </c>
      <c r="O37" s="113">
        <f>IF(AND($D37&gt;=3625.0,$D37&lt;3916.666666666667),"▼","")</f>
        <v/>
      </c>
      <c r="P37" s="113">
        <f>IF(AND($D37&gt;=3916.666666666667,$D37&lt;4208.333333333334),"▼","")</f>
        <v/>
      </c>
      <c r="Q37" s="113">
        <f>IF(AND($D37&gt;=4208.333333333334,$D37&lt;=4500.0),"▼","")</f>
        <v/>
      </c>
      <c r="R37" t="inlineStr">
        <is>
          <t>Conservador 3.500–4.500 · Normal 2.500–3.500 · Optimista 1.800–2.500 · Agresivo 1.000–1.800</t>
        </is>
      </c>
      <c r="S37" s="117" t="inlineStr">
        <is>
          <t>Tiendas de formato sencillo</t>
        </is>
      </c>
    </row>
    <row r="38">
      <c r="B38" t="inlineStr">
        <is>
          <t xml:space="preserve">   Canibalización (ventas que se quitan a otras tiendas y al online)</t>
        </is>
      </c>
      <c r="C38" t="inlineStr">
        <is>
          <t>%</t>
        </is>
      </c>
      <c r="D38" s="120" t="n">
        <v>0.3</v>
      </c>
      <c r="E38">
        <f>IF($D38&lt;0.1,"Agresivo",IF($D38&lt;0.25,"Optimista",IF($D38&lt;0.4,"Normal","Conservador")))</f>
        <v/>
      </c>
      <c r="F38" s="116">
        <f>IF(AND($D38&gt;=0.0,$D38&lt;0.049999999999999996),"▼","")</f>
        <v/>
      </c>
      <c r="G38" s="116">
        <f>IF(AND($D38&gt;=0.049999999999999996,$D38&lt;0.09999999999999999),"▼","")</f>
        <v/>
      </c>
      <c r="H38" s="115">
        <f>IF(AND($D38&gt;=0.09999999999999999,$D38&lt;0.15),"▼","")</f>
        <v/>
      </c>
      <c r="I38" s="115">
        <f>IF(AND($D38&gt;=0.15,$D38&lt;0.19999999999999998),"▼","")</f>
        <v/>
      </c>
      <c r="J38" s="115">
        <f>IF(AND($D38&gt;=0.19999999999999998,$D38&lt;0.24999999999999997),"▼","")</f>
        <v/>
      </c>
      <c r="K38" s="114">
        <f>IF(AND($D38&gt;=0.24999999999999997,$D38&lt;0.3),"▼","")</f>
        <v/>
      </c>
      <c r="L38" s="114">
        <f>IF(AND($D38&gt;=0.3,$D38&lt;0.35),"▼","")</f>
        <v/>
      </c>
      <c r="M38" s="114">
        <f>IF(AND($D38&gt;=0.35,$D38&lt;0.39999999999999997),"▼","")</f>
        <v/>
      </c>
      <c r="N38" s="113">
        <f>IF(AND($D38&gt;=0.39999999999999997,$D38&lt;0.44999999999999996),"▼","")</f>
        <v/>
      </c>
      <c r="O38" s="113">
        <f>IF(AND($D38&gt;=0.44999999999999996,$D38&lt;0.49999999999999994),"▼","")</f>
        <v/>
      </c>
      <c r="P38" s="113">
        <f>IF(AND($D38&gt;=0.49999999999999994,$D38&lt;0.5499999999999999),"▼","")</f>
        <v/>
      </c>
      <c r="Q38" s="113">
        <f>IF(AND($D38&gt;=0.5499999999999999,$D38&lt;=0.6),"▼","")</f>
        <v/>
      </c>
      <c r="R38" t="inlineStr">
        <is>
          <t>Conservador 40%–60% · Normal 25%–40% · Optimista 10%–25% · Agresivo 0%–10%</t>
        </is>
      </c>
      <c r="S38" s="117" t="inlineStr">
        <is>
          <t>Riesgo alto de quitar ventas a Zara y Bershka</t>
        </is>
      </c>
    </row>
    <row r="40">
      <c r="B40" s="111" t="inlineStr">
        <is>
          <t>Optimización de tiendas adicional</t>
        </is>
      </c>
      <c r="C40" t="inlineStr">
        <is>
          <t>Activa (1/0)</t>
        </is>
      </c>
      <c r="D40" s="102" t="n">
        <v>1</v>
      </c>
      <c r="R40" s="101" t="inlineStr">
        <is>
          <t>Más reformas y ampliaciones que las ya previstas (las actuales ya están en el plan base).</t>
        </is>
      </c>
    </row>
    <row r="41">
      <c r="B41" t="inlineStr">
        <is>
          <t xml:space="preserve">   Superficie reformada o ampliada adicional al año</t>
        </is>
      </c>
      <c r="C41" t="inlineStr">
        <is>
          <t>miles m²</t>
        </is>
      </c>
      <c r="D41" s="112" t="n">
        <v>40</v>
      </c>
      <c r="E41">
        <f>IF($D41&lt;20.0,"Conservador",IF($D41&lt;60.0,"Normal",IF($D41&lt;120.0,"Optimista","Agresivo")))</f>
        <v/>
      </c>
      <c r="F41" s="113">
        <f>IF(AND($D41&gt;=0.0,$D41&lt;16.666666666666668),"▼","")</f>
        <v/>
      </c>
      <c r="G41" s="114">
        <f>IF(AND($D41&gt;=16.666666666666668,$D41&lt;33.333333333333336),"▼","")</f>
        <v/>
      </c>
      <c r="H41" s="114">
        <f>IF(AND($D41&gt;=33.333333333333336,$D41&lt;50.0),"▼","")</f>
        <v/>
      </c>
      <c r="I41" s="114">
        <f>IF(AND($D41&gt;=50.0,$D41&lt;66.66666666666667),"▼","")</f>
        <v/>
      </c>
      <c r="J41" s="115">
        <f>IF(AND($D41&gt;=66.66666666666667,$D41&lt;83.33333333333334),"▼","")</f>
        <v/>
      </c>
      <c r="K41" s="115">
        <f>IF(AND($D41&gt;=83.33333333333334,$D41&lt;100.0),"▼","")</f>
        <v/>
      </c>
      <c r="L41" s="115">
        <f>IF(AND($D41&gt;=100.0,$D41&lt;116.66666666666667),"▼","")</f>
        <v/>
      </c>
      <c r="M41" s="116">
        <f>IF(AND($D41&gt;=116.66666666666667,$D41&lt;133.33333333333334),"▼","")</f>
        <v/>
      </c>
      <c r="N41" s="116">
        <f>IF(AND($D41&gt;=133.33333333333334,$D41&lt;150.0),"▼","")</f>
        <v/>
      </c>
      <c r="O41" s="116">
        <f>IF(AND($D41&gt;=150.0,$D41&lt;166.66666666666669),"▼","")</f>
        <v/>
      </c>
      <c r="P41" s="116">
        <f>IF(AND($D41&gt;=166.66666666666669,$D41&lt;183.33333333333334),"▼","")</f>
        <v/>
      </c>
      <c r="Q41" s="116">
        <f>IF(AND($D41&gt;=183.33333333333334,$D41&lt;=200.0),"▼","")</f>
        <v/>
      </c>
      <c r="R41" t="inlineStr">
        <is>
          <t>Conservador 0–20 · Normal 20–60 · Optimista 60–120 · Agresivo 120–200</t>
        </is>
      </c>
      <c r="S41" s="117" t="inlineStr">
        <is>
          <t>2025: 217 reformas (96 ampliaciones) y 293 absorciones</t>
        </is>
      </c>
    </row>
    <row r="42">
      <c r="B42" t="inlineStr">
        <is>
          <t xml:space="preserve">   Aumento de ventas por m² en lo reformado</t>
        </is>
      </c>
      <c r="C42" t="inlineStr">
        <is>
          <t>%</t>
        </is>
      </c>
      <c r="D42" s="120" t="n">
        <v>0.12</v>
      </c>
      <c r="E42">
        <f>IF($D42&lt;0.08,"Conservador",IF($D42&lt;0.15,"Normal",IF($D42&lt;0.25,"Optimista","Agresivo")))</f>
        <v/>
      </c>
      <c r="F42" s="113">
        <f>IF(AND($D42&gt;=0.03,$D42&lt;0.060833333333333336),"▼","")</f>
        <v/>
      </c>
      <c r="G42" s="113">
        <f>IF(AND($D42&gt;=0.060833333333333336,$D42&lt;0.09166666666666667),"▼","")</f>
        <v/>
      </c>
      <c r="H42" s="114">
        <f>IF(AND($D42&gt;=0.09166666666666667,$D42&lt;0.1225),"▼","")</f>
        <v/>
      </c>
      <c r="I42" s="114">
        <f>IF(AND($D42&gt;=0.1225,$D42&lt;0.15333333333333332),"▼","")</f>
        <v/>
      </c>
      <c r="J42" s="115">
        <f>IF(AND($D42&gt;=0.15333333333333332,$D42&lt;0.18416666666666667),"▼","")</f>
        <v/>
      </c>
      <c r="K42" s="115">
        <f>IF(AND($D42&gt;=0.18416666666666667,$D42&lt;0.215),"▼","")</f>
        <v/>
      </c>
      <c r="L42" s="115">
        <f>IF(AND($D42&gt;=0.215,$D42&lt;0.24583333333333335),"▼","")</f>
        <v/>
      </c>
      <c r="M42" s="116">
        <f>IF(AND($D42&gt;=0.24583333333333335,$D42&lt;0.27666666666666667),"▼","")</f>
        <v/>
      </c>
      <c r="N42" s="116">
        <f>IF(AND($D42&gt;=0.27666666666666667,$D42&lt;0.3075),"▼","")</f>
        <v/>
      </c>
      <c r="O42" s="116">
        <f>IF(AND($D42&gt;=0.3075,$D42&lt;0.3383333333333334),"▼","")</f>
        <v/>
      </c>
      <c r="P42" s="116">
        <f>IF(AND($D42&gt;=0.3383333333333334,$D42&lt;0.36916666666666664),"▼","")</f>
        <v/>
      </c>
      <c r="Q42" s="116">
        <f>IF(AND($D42&gt;=0.36916666666666664,$D42&lt;=0.4),"▼","")</f>
        <v/>
      </c>
      <c r="R42" t="inlineStr">
        <is>
          <t>Conservador 3%–8% · Normal 8%–15% · Optimista 15%–25% · Agresivo 25%–40%</t>
        </is>
      </c>
      <c r="S42" s="117" t="inlineStr">
        <is>
          <t>3 últimos años: tiendas -6 %, superficie +6 %, ventas +22 %</t>
        </is>
      </c>
    </row>
    <row r="43">
      <c r="B43" t="inlineStr">
        <is>
          <t xml:space="preserve">   Capex por m² reformado</t>
        </is>
      </c>
      <c r="C43" t="inlineStr">
        <is>
          <t>€/m²</t>
        </is>
      </c>
      <c r="D43" s="118" t="n">
        <v>2000</v>
      </c>
      <c r="E43">
        <f>IF($D43&lt;1000.0,"Agresivo",IF($D43&lt;1500.0,"Optimista",IF($D43&lt;2500.0,"Normal","Conservador")))</f>
        <v/>
      </c>
      <c r="F43" s="116">
        <f>IF(AND($D43&gt;=500.0,$D43&lt;750.0),"▼","")</f>
        <v/>
      </c>
      <c r="G43" s="116">
        <f>IF(AND($D43&gt;=750.0,$D43&lt;1000.0),"▼","")</f>
        <v/>
      </c>
      <c r="H43" s="115">
        <f>IF(AND($D43&gt;=1000.0,$D43&lt;1250.0),"▼","")</f>
        <v/>
      </c>
      <c r="I43" s="115">
        <f>IF(AND($D43&gt;=1250.0,$D43&lt;1500.0),"▼","")</f>
        <v/>
      </c>
      <c r="J43" s="114">
        <f>IF(AND($D43&gt;=1500.0,$D43&lt;1750.0),"▼","")</f>
        <v/>
      </c>
      <c r="K43" s="114">
        <f>IF(AND($D43&gt;=1750.0,$D43&lt;2000.0),"▼","")</f>
        <v/>
      </c>
      <c r="L43" s="114">
        <f>IF(AND($D43&gt;=2000.0,$D43&lt;2250.0),"▼","")</f>
        <v/>
      </c>
      <c r="M43" s="114">
        <f>IF(AND($D43&gt;=2250.0,$D43&lt;2500.0),"▼","")</f>
        <v/>
      </c>
      <c r="N43" s="113">
        <f>IF(AND($D43&gt;=2500.0,$D43&lt;2750.0),"▼","")</f>
        <v/>
      </c>
      <c r="O43" s="113">
        <f>IF(AND($D43&gt;=2750.0,$D43&lt;3000.0),"▼","")</f>
        <v/>
      </c>
      <c r="P43" s="113">
        <f>IF(AND($D43&gt;=3000.0,$D43&lt;3250.0),"▼","")</f>
        <v/>
      </c>
      <c r="Q43" s="113">
        <f>IF(AND($D43&gt;=3250.0,$D43&lt;=3500.0),"▼","")</f>
        <v/>
      </c>
      <c r="R43" t="inlineStr">
        <is>
          <t>Conservador 2.500–3.500 · Normal 1.500–2.500 · Optimista 1.000–1.500 · Agresivo 500–1.000</t>
        </is>
      </c>
      <c r="S43" s="117" t="inlineStr">
        <is>
          <t>Reforma: una fracción del coste de abrir</t>
        </is>
      </c>
    </row>
    <row r="44">
      <c r="B44" t="inlineStr">
        <is>
          <t xml:space="preserve">   Margen sobre las ventas incrementales</t>
        </is>
      </c>
      <c r="C44" t="inlineStr">
        <is>
          <t>%</t>
        </is>
      </c>
      <c r="D44" s="120" t="n">
        <v>0.3</v>
      </c>
      <c r="E44">
        <f>IF($D44&lt;0.25,"Conservador",IF($D44&lt;0.35,"Normal",IF($D44&lt;0.45,"Optimista","Agresivo")))</f>
        <v/>
      </c>
      <c r="F44" s="113">
        <f>IF(AND($D44&gt;=0.15,$D44&lt;0.18333333333333332),"▼","")</f>
        <v/>
      </c>
      <c r="G44" s="113">
        <f>IF(AND($D44&gt;=0.18333333333333332,$D44&lt;0.21666666666666667),"▼","")</f>
        <v/>
      </c>
      <c r="H44" s="113">
        <f>IF(AND($D44&gt;=0.21666666666666667,$D44&lt;0.25),"▼","")</f>
        <v/>
      </c>
      <c r="I44" s="114">
        <f>IF(AND($D44&gt;=0.25,$D44&lt;0.2833333333333333),"▼","")</f>
        <v/>
      </c>
      <c r="J44" s="114">
        <f>IF(AND($D44&gt;=0.2833333333333333,$D44&lt;0.31666666666666665),"▼","")</f>
        <v/>
      </c>
      <c r="K44" s="114">
        <f>IF(AND($D44&gt;=0.31666666666666665,$D44&lt;0.35),"▼","")</f>
        <v/>
      </c>
      <c r="L44" s="115">
        <f>IF(AND($D44&gt;=0.35,$D44&lt;0.3833333333333333),"▼","")</f>
        <v/>
      </c>
      <c r="M44" s="115">
        <f>IF(AND($D44&gt;=0.3833333333333333,$D44&lt;0.41666666666666663),"▼","")</f>
        <v/>
      </c>
      <c r="N44" s="115">
        <f>IF(AND($D44&gt;=0.41666666666666663,$D44&lt;0.44999999999999996),"▼","")</f>
        <v/>
      </c>
      <c r="O44" s="116">
        <f>IF(AND($D44&gt;=0.44999999999999996,$D44&lt;0.4833333333333333),"▼","")</f>
        <v/>
      </c>
      <c r="P44" s="116">
        <f>IF(AND($D44&gt;=0.4833333333333333,$D44&lt;0.5166666666666666),"▼","")</f>
        <v/>
      </c>
      <c r="Q44" s="116">
        <f>IF(AND($D44&gt;=0.5166666666666666,$D44&lt;=0.55),"▼","")</f>
        <v/>
      </c>
      <c r="R44" t="inlineStr">
        <is>
          <t>Conservador 15%–25% · Normal 25%–35% · Optimista 35%–45% · Agresivo 45%–55%</t>
        </is>
      </c>
      <c r="S44" s="117" t="inlineStr">
        <is>
          <t>La tienda ya existe: alquiler y plantilla casi fijos</t>
        </is>
      </c>
    </row>
    <row r="46">
      <c r="B46" s="111" t="inlineStr">
        <is>
          <t>Eficiencia operativa</t>
        </is>
      </c>
      <c r="C46" t="inlineStr">
        <is>
          <t>Activa (1/0)</t>
        </is>
      </c>
      <c r="D46" s="102" t="n">
        <v>1</v>
      </c>
      <c r="R46" s="101" t="inlineStr">
        <is>
          <t>Rentabilizar el plan logístico de 1.800 M€ (2024-25), RFID y automatización de tienda.</t>
        </is>
      </c>
    </row>
    <row r="47">
      <c r="B47" t="inlineStr">
        <is>
          <t xml:space="preserve">   Ahorro de gastos a régimen</t>
        </is>
      </c>
      <c r="C47" t="inlineStr">
        <is>
          <t>pb de ventas</t>
        </is>
      </c>
      <c r="D47" s="112" t="n">
        <v>40</v>
      </c>
      <c r="E47">
        <f>IF($D47&lt;25.0,"Conservador",IF($D47&lt;60.0,"Normal",IF($D47&lt;100.0,"Optimista","Agresivo")))</f>
        <v/>
      </c>
      <c r="F47" s="113">
        <f>IF(AND($D47&gt;=0.0,$D47&lt;16.666666666666668),"▼","")</f>
        <v/>
      </c>
      <c r="G47" s="114">
        <f>IF(AND($D47&gt;=16.666666666666668,$D47&lt;33.333333333333336),"▼","")</f>
        <v/>
      </c>
      <c r="H47" s="114">
        <f>IF(AND($D47&gt;=33.333333333333336,$D47&lt;50.0),"▼","")</f>
        <v/>
      </c>
      <c r="I47" s="114">
        <f>IF(AND($D47&gt;=50.0,$D47&lt;66.66666666666667),"▼","")</f>
        <v/>
      </c>
      <c r="J47" s="115">
        <f>IF(AND($D47&gt;=66.66666666666667,$D47&lt;83.33333333333334),"▼","")</f>
        <v/>
      </c>
      <c r="K47" s="115">
        <f>IF(AND($D47&gt;=83.33333333333334,$D47&lt;100.0),"▼","")</f>
        <v/>
      </c>
      <c r="L47" s="116">
        <f>IF(AND($D47&gt;=100.0,$D47&lt;116.66666666666667),"▼","")</f>
        <v/>
      </c>
      <c r="M47" s="116">
        <f>IF(AND($D47&gt;=116.66666666666667,$D47&lt;133.33333333333334),"▼","")</f>
        <v/>
      </c>
      <c r="N47" s="116">
        <f>IF(AND($D47&gt;=133.33333333333334,$D47&lt;150.0),"▼","")</f>
        <v/>
      </c>
      <c r="O47" s="116">
        <f>IF(AND($D47&gt;=150.0,$D47&lt;166.66666666666669),"▼","")</f>
        <v/>
      </c>
      <c r="P47" s="116">
        <f>IF(AND($D47&gt;=166.66666666666669,$D47&lt;183.33333333333334),"▼","")</f>
        <v/>
      </c>
      <c r="Q47" s="116">
        <f>IF(AND($D47&gt;=183.33333333333334,$D47&lt;=200.0),"▼","")</f>
        <v/>
      </c>
      <c r="R47" t="inlineStr">
        <is>
          <t>Conservador 0–25 · Normal 25–60 · Optimista 60–100 · Agresivo 100–200</t>
        </is>
      </c>
      <c r="S47" s="117" t="inlineStr">
        <is>
          <t>Gastos/ventas: mínimo histórico 34,6 %; más de 60 pb es terreno nunca visto</t>
        </is>
      </c>
    </row>
    <row r="48">
      <c r="B48" t="inlineStr">
        <is>
          <t xml:space="preserve">   Años hasta alcanzar el ahorro completo</t>
        </is>
      </c>
      <c r="C48" t="inlineStr">
        <is>
          <t>años</t>
        </is>
      </c>
      <c r="D48" s="112" t="n">
        <v>3</v>
      </c>
      <c r="E48">
        <f>IF($D48&lt;2.0,"Agresivo",IF($D48&lt;3.0,"Optimista",IF($D48&lt;4.0,"Normal","Conservador")))</f>
        <v/>
      </c>
      <c r="F48" s="116">
        <f>IF(AND($D48&gt;=1.0,$D48&lt;1.3333333333333333),"▼","")</f>
        <v/>
      </c>
      <c r="G48" s="116">
        <f>IF(AND($D48&gt;=1.3333333333333333,$D48&lt;1.6666666666666665),"▼","")</f>
        <v/>
      </c>
      <c r="H48" s="116">
        <f>IF(AND($D48&gt;=1.6666666666666665,$D48&lt;2.0),"▼","")</f>
        <v/>
      </c>
      <c r="I48" s="115">
        <f>IF(AND($D48&gt;=2.0,$D48&lt;2.333333333333333),"▼","")</f>
        <v/>
      </c>
      <c r="J48" s="115">
        <f>IF(AND($D48&gt;=2.333333333333333,$D48&lt;2.6666666666666665),"▼","")</f>
        <v/>
      </c>
      <c r="K48" s="115">
        <f>IF(AND($D48&gt;=2.6666666666666665,$D48&lt;3.0),"▼","")</f>
        <v/>
      </c>
      <c r="L48" s="114">
        <f>IF(AND($D48&gt;=3.0,$D48&lt;3.333333333333333),"▼","")</f>
        <v/>
      </c>
      <c r="M48" s="114">
        <f>IF(AND($D48&gt;=3.333333333333333,$D48&lt;3.6666666666666665),"▼","")</f>
        <v/>
      </c>
      <c r="N48" s="114">
        <f>IF(AND($D48&gt;=3.6666666666666665,$D48&lt;4.0),"▼","")</f>
        <v/>
      </c>
      <c r="O48" s="113">
        <f>IF(AND($D48&gt;=4.0,$D48&lt;4.333333333333333),"▼","")</f>
        <v/>
      </c>
      <c r="P48" s="113">
        <f>IF(AND($D48&gt;=4.333333333333333,$D48&lt;4.666666666666666),"▼","")</f>
        <v/>
      </c>
      <c r="Q48" s="113">
        <f>IF(AND($D48&gt;=4.666666666666666,$D48&lt;=5.0),"▼","")</f>
        <v/>
      </c>
      <c r="R48" t="inlineStr">
        <is>
          <t>Conservador 4–5 · Normal 3–4 · Optimista 2–3 · Agresivo 1–2</t>
        </is>
      </c>
      <c r="S48" s="117" t="inlineStr">
        <is>
          <t>Los planes de eficiencia suelen tardar 2-4 años</t>
        </is>
      </c>
    </row>
    <row r="49">
      <c r="B49" t="inlineStr">
        <is>
          <t xml:space="preserve">   Coste de implantación</t>
        </is>
      </c>
      <c r="C49" t="inlineStr">
        <is>
          <t>× ahorro anual</t>
        </is>
      </c>
      <c r="D49" s="121" t="n">
        <v>1</v>
      </c>
      <c r="E49">
        <f>IF($D49&lt;0.4,"Agresivo",IF($D49&lt;0.75,"Optimista",IF($D49&lt;1.5,"Normal","Conservador")))</f>
        <v/>
      </c>
      <c r="F49" s="116">
        <f>IF(AND($D49&gt;=0.0,$D49&lt;0.20833333333333334),"▼","")</f>
        <v/>
      </c>
      <c r="G49" s="116">
        <f>IF(AND($D49&gt;=0.20833333333333334,$D49&lt;0.4166666666666667),"▼","")</f>
        <v/>
      </c>
      <c r="H49" s="115">
        <f>IF(AND($D49&gt;=0.4166666666666667,$D49&lt;0.625),"▼","")</f>
        <v/>
      </c>
      <c r="I49" s="115">
        <f>IF(AND($D49&gt;=0.625,$D49&lt;0.8333333333333334),"▼","")</f>
        <v/>
      </c>
      <c r="J49" s="114">
        <f>IF(AND($D49&gt;=0.8333333333333334,$D49&lt;1.0416666666666667),"▼","")</f>
        <v/>
      </c>
      <c r="K49" s="114">
        <f>IF(AND($D49&gt;=1.0416666666666667,$D49&lt;1.25),"▼","")</f>
        <v/>
      </c>
      <c r="L49" s="114">
        <f>IF(AND($D49&gt;=1.25,$D49&lt;1.4583333333333335),"▼","")</f>
        <v/>
      </c>
      <c r="M49" s="113">
        <f>IF(AND($D49&gt;=1.4583333333333335,$D49&lt;1.6666666666666667),"▼","")</f>
        <v/>
      </c>
      <c r="N49" s="113">
        <f>IF(AND($D49&gt;=1.6666666666666667,$D49&lt;1.875),"▼","")</f>
        <v/>
      </c>
      <c r="O49" s="113">
        <f>IF(AND($D49&gt;=1.875,$D49&lt;2.0833333333333335),"▼","")</f>
        <v/>
      </c>
      <c r="P49" s="113">
        <f>IF(AND($D49&gt;=2.0833333333333335,$D49&lt;2.291666666666667),"▼","")</f>
        <v/>
      </c>
      <c r="Q49" s="113">
        <f>IF(AND($D49&gt;=2.291666666666667,$D49&lt;=2.5),"▼","")</f>
        <v/>
      </c>
      <c r="R49" t="inlineStr">
        <is>
          <t>Conservador 1,5–2,5 · Normal 0,75–1,5 · Optimista 0,4–0,75 · Agresivo 0–0,4</t>
        </is>
      </c>
      <c r="S49" s="117" t="inlineStr">
        <is>
          <t>Se paga en 2026-27 (consultoría, despidos, sistemas)</t>
        </is>
      </c>
    </row>
    <row r="51">
      <c r="B51" s="111" t="inlineStr">
        <is>
          <t>Circulante</t>
        </is>
      </c>
      <c r="C51" t="inlineStr">
        <is>
          <t>Activa (1/0)</t>
        </is>
      </c>
      <c r="D51" s="102" t="n">
        <v>1</v>
      </c>
      <c r="R51" s="101" t="inlineStr">
        <is>
          <t>Alargar el pago a proveedores y reducir stock (RFID, mejor reposición).</t>
        </is>
      </c>
    </row>
    <row r="52">
      <c r="B52" t="inlineStr">
        <is>
          <t xml:space="preserve">   Más proveedores sobre ventas</t>
        </is>
      </c>
      <c r="C52" t="inlineStr">
        <is>
          <t>pp</t>
        </is>
      </c>
      <c r="D52" s="122" t="n">
        <v>1</v>
      </c>
      <c r="E52">
        <f>IF($D52&lt;0.5,"Conservador",IF($D52&lt;1.5,"Normal",IF($D52&lt;2.5,"Optimista","Agresivo")))</f>
        <v/>
      </c>
      <c r="F52" s="113">
        <f>IF(AND($D52&gt;=0.0,$D52&lt;0.3333333333333333),"▼","")</f>
        <v/>
      </c>
      <c r="G52" s="114">
        <f>IF(AND($D52&gt;=0.3333333333333333,$D52&lt;0.6666666666666666),"▼","")</f>
        <v/>
      </c>
      <c r="H52" s="114">
        <f>IF(AND($D52&gt;=0.6666666666666666,$D52&lt;1.0),"▼","")</f>
        <v/>
      </c>
      <c r="I52" s="114">
        <f>IF(AND($D52&gt;=1.0,$D52&lt;1.3333333333333333),"▼","")</f>
        <v/>
      </c>
      <c r="J52" s="115">
        <f>IF(AND($D52&gt;=1.3333333333333333,$D52&lt;1.6666666666666665),"▼","")</f>
        <v/>
      </c>
      <c r="K52" s="115">
        <f>IF(AND($D52&gt;=1.6666666666666665,$D52&lt;2.0),"▼","")</f>
        <v/>
      </c>
      <c r="L52" s="115">
        <f>IF(AND($D52&gt;=2.0,$D52&lt;2.333333333333333),"▼","")</f>
        <v/>
      </c>
      <c r="M52" s="116">
        <f>IF(AND($D52&gt;=2.333333333333333,$D52&lt;2.6666666666666665),"▼","")</f>
        <v/>
      </c>
      <c r="N52" s="116">
        <f>IF(AND($D52&gt;=2.6666666666666665,$D52&lt;3.0),"▼","")</f>
        <v/>
      </c>
      <c r="O52" s="116">
        <f>IF(AND($D52&gt;=3.0,$D52&lt;3.333333333333333),"▼","")</f>
        <v/>
      </c>
      <c r="P52" s="116">
        <f>IF(AND($D52&gt;=3.333333333333333,$D52&lt;3.6666666666666665),"▼","")</f>
        <v/>
      </c>
      <c r="Q52" s="116">
        <f>IF(AND($D52&gt;=3.6666666666666665,$D52&lt;=4.0),"▼","")</f>
        <v/>
      </c>
      <c r="R52" t="inlineStr">
        <is>
          <t>Conservador 0–0,5 · Normal 0,5–1,5 · Optimista 1,5–2,5 · Agresivo 2,5–4</t>
        </is>
      </c>
      <c r="S52" s="117" t="inlineStr">
        <is>
          <t>Proveedores / ventas: 20,1 % (2022) a 22,2 % (2024); 21,5 % en 2025</t>
        </is>
      </c>
    </row>
    <row r="53">
      <c r="B53" t="inlineStr">
        <is>
          <t xml:space="preserve">   Menos existencias sobre ventas</t>
        </is>
      </c>
      <c r="C53" t="inlineStr">
        <is>
          <t>pp</t>
        </is>
      </c>
      <c r="D53" s="122" t="n">
        <v>0.4</v>
      </c>
      <c r="E53">
        <f>IF($D53&lt;0.2,"Conservador",IF($D53&lt;0.6,"Normal",IF($D53&lt;1.0,"Optimista","Agresivo")))</f>
        <v/>
      </c>
      <c r="F53" s="113">
        <f>IF(AND($D53&gt;=0.0,$D53&lt;0.15),"▼","")</f>
        <v/>
      </c>
      <c r="G53" s="114">
        <f>IF(AND($D53&gt;=0.15,$D53&lt;0.3),"▼","")</f>
        <v/>
      </c>
      <c r="H53" s="114">
        <f>IF(AND($D53&gt;=0.3,$D53&lt;0.44999999999999996),"▼","")</f>
        <v/>
      </c>
      <c r="I53" s="114">
        <f>IF(AND($D53&gt;=0.44999999999999996,$D53&lt;0.6),"▼","")</f>
        <v/>
      </c>
      <c r="J53" s="115">
        <f>IF(AND($D53&gt;=0.6,$D53&lt;0.75),"▼","")</f>
        <v/>
      </c>
      <c r="K53" s="115">
        <f>IF(AND($D53&gt;=0.75,$D53&lt;0.8999999999999999),"▼","")</f>
        <v/>
      </c>
      <c r="L53" s="115">
        <f>IF(AND($D53&gt;=0.8999999999999999,$D53&lt;1.05),"▼","")</f>
        <v/>
      </c>
      <c r="M53" s="116">
        <f>IF(AND($D53&gt;=1.05,$D53&lt;1.2),"▼","")</f>
        <v/>
      </c>
      <c r="N53" s="116">
        <f>IF(AND($D53&gt;=1.2,$D53&lt;1.3499999999999999),"▼","")</f>
        <v/>
      </c>
      <c r="O53" s="116">
        <f>IF(AND($D53&gt;=1.3499999999999999,$D53&lt;1.5),"▼","")</f>
        <v/>
      </c>
      <c r="P53" s="116">
        <f>IF(AND($D53&gt;=1.5,$D53&lt;1.65),"▼","")</f>
        <v/>
      </c>
      <c r="Q53" s="116">
        <f>IF(AND($D53&gt;=1.65,$D53&lt;=1.7999999999999998),"▼","")</f>
        <v/>
      </c>
      <c r="R53" t="inlineStr">
        <is>
          <t>Conservador 0–0,2 · Normal 0,2–0,6 · Optimista 0,6–1 · Agresivo 1–1,8</t>
        </is>
      </c>
      <c r="S53" s="117" t="inlineStr">
        <is>
          <t>Existencias / ventas: 8,2 % en 2025 (9,8 % en 2022)</t>
        </is>
      </c>
    </row>
    <row r="55">
      <c r="B55" s="111" t="inlineStr">
        <is>
          <t>Venta y realquiler de inmuebles (PropCo)</t>
        </is>
      </c>
      <c r="C55" t="inlineStr">
        <is>
          <t>Activa (1/0)</t>
        </is>
      </c>
      <c r="D55" s="102" t="n">
        <v>1</v>
      </c>
      <c r="R55" s="101" t="inlineStr">
        <is>
          <t>Vender terrenos y edificios propios y realquilarlos: caja hoy a cambio de alquiler para siempre.</t>
        </is>
      </c>
    </row>
    <row r="56">
      <c r="B56" t="inlineStr">
        <is>
          <t xml:space="preserve">   Parte de terrenos y construcciones vendida</t>
        </is>
      </c>
      <c r="C56" t="inlineStr">
        <is>
          <t>%</t>
        </is>
      </c>
      <c r="D56" s="120" t="n">
        <v>0.35</v>
      </c>
      <c r="E56">
        <f>IF($D56&lt;0.2,"Conservador",IF($D56&lt;0.5,"Normal",IF($D56&lt;0.8,"Optimista","Agresivo")))</f>
        <v/>
      </c>
      <c r="F56" s="113">
        <f>IF(AND($D56&gt;=0.0,$D56&lt;0.08333333333333333),"▼","")</f>
        <v/>
      </c>
      <c r="G56" s="113">
        <f>IF(AND($D56&gt;=0.08333333333333333,$D56&lt;0.16666666666666666),"▼","")</f>
        <v/>
      </c>
      <c r="H56" s="114">
        <f>IF(AND($D56&gt;=0.16666666666666666,$D56&lt;0.25),"▼","")</f>
        <v/>
      </c>
      <c r="I56" s="114">
        <f>IF(AND($D56&gt;=0.25,$D56&lt;0.3333333333333333),"▼","")</f>
        <v/>
      </c>
      <c r="J56" s="114">
        <f>IF(AND($D56&gt;=0.3333333333333333,$D56&lt;0.41666666666666663),"▼","")</f>
        <v/>
      </c>
      <c r="K56" s="114">
        <f>IF(AND($D56&gt;=0.41666666666666663,$D56&lt;0.5),"▼","")</f>
        <v/>
      </c>
      <c r="L56" s="115">
        <f>IF(AND($D56&gt;=0.5,$D56&lt;0.5833333333333333),"▼","")</f>
        <v/>
      </c>
      <c r="M56" s="115">
        <f>IF(AND($D56&gt;=0.5833333333333333,$D56&lt;0.6666666666666666),"▼","")</f>
        <v/>
      </c>
      <c r="N56" s="115">
        <f>IF(AND($D56&gt;=0.6666666666666666,$D56&lt;0.75),"▼","")</f>
        <v/>
      </c>
      <c r="O56" s="115">
        <f>IF(AND($D56&gt;=0.75,$D56&lt;0.8333333333333333),"▼","")</f>
        <v/>
      </c>
      <c r="P56" s="116">
        <f>IF(AND($D56&gt;=0.8333333333333333,$D56&lt;0.9166666666666666),"▼","")</f>
        <v/>
      </c>
      <c r="Q56" s="116">
        <f>IF(AND($D56&gt;=0.9166666666666666,$D56&lt;=1.0),"▼","")</f>
        <v/>
      </c>
      <c r="R56" t="inlineStr">
        <is>
          <t>Conservador 0%–20% · Normal 20%–50% · Optimista 50%–80% · Agresivo 80%–100%</t>
        </is>
      </c>
      <c r="S56" s="117" t="inlineStr">
        <is>
          <t>Valor neto contable a 31-01-2026: 2.404 M€</t>
        </is>
      </c>
    </row>
    <row r="57">
      <c r="B57" t="inlineStr">
        <is>
          <t xml:space="preserve">   Valor de mercado / valor contable</t>
        </is>
      </c>
      <c r="C57" t="inlineStr">
        <is>
          <t>x</t>
        </is>
      </c>
      <c r="D57" s="122" t="n">
        <v>1.5</v>
      </c>
      <c r="E57">
        <f>IF($D57&lt;1.3,"Conservador",IF($D57&lt;1.8,"Normal",IF($D57&lt;2.5,"Optimista","Agresivo")))</f>
        <v/>
      </c>
      <c r="F57" s="113">
        <f>IF(AND($D57&gt;=1.0,$D57&lt;1.2083333333333333),"▼","")</f>
        <v/>
      </c>
      <c r="G57" s="114">
        <f>IF(AND($D57&gt;=1.2083333333333333,$D57&lt;1.4166666666666667),"▼","")</f>
        <v/>
      </c>
      <c r="H57" s="114">
        <f>IF(AND($D57&gt;=1.4166666666666667,$D57&lt;1.625),"▼","")</f>
        <v/>
      </c>
      <c r="I57" s="114">
        <f>IF(AND($D57&gt;=1.625,$D57&lt;1.8333333333333335),"▼","")</f>
        <v/>
      </c>
      <c r="J57" s="115">
        <f>IF(AND($D57&gt;=1.8333333333333335,$D57&lt;2.041666666666667),"▼","")</f>
        <v/>
      </c>
      <c r="K57" s="115">
        <f>IF(AND($D57&gt;=2.041666666666667,$D57&lt;2.25),"▼","")</f>
        <v/>
      </c>
      <c r="L57" s="115">
        <f>IF(AND($D57&gt;=2.25,$D57&lt;2.4583333333333335),"▼","")</f>
        <v/>
      </c>
      <c r="M57" s="116">
        <f>IF(AND($D57&gt;=2.4583333333333335,$D57&lt;2.666666666666667),"▼","")</f>
        <v/>
      </c>
      <c r="N57" s="116">
        <f>IF(AND($D57&gt;=2.666666666666667,$D57&lt;2.875),"▼","")</f>
        <v/>
      </c>
      <c r="O57" s="116">
        <f>IF(AND($D57&gt;=2.875,$D57&lt;3.0833333333333335),"▼","")</f>
        <v/>
      </c>
      <c r="P57" s="116">
        <f>IF(AND($D57&gt;=3.0833333333333335,$D57&lt;3.291666666666667),"▼","")</f>
        <v/>
      </c>
      <c r="Q57" s="116">
        <f>IF(AND($D57&gt;=3.291666666666667,$D57&lt;=3.5),"▼","")</f>
        <v/>
      </c>
      <c r="R57" t="inlineStr">
        <is>
          <t>Conservador 1–1,3 · Normal 1,3–1,8 · Optimista 1,8–2,5 · Agresivo 2,5–3,5</t>
        </is>
      </c>
      <c r="S57" s="117" t="inlineStr">
        <is>
          <t>El suelo está a coste histórico: el valor de mercado suele ser mayor</t>
        </is>
      </c>
    </row>
    <row r="58">
      <c r="B58" t="inlineStr">
        <is>
          <t xml:space="preserve">   Rentabilidad que exige el comprador (cap rate)</t>
        </is>
      </c>
      <c r="C58" t="inlineStr">
        <is>
          <t>%</t>
        </is>
      </c>
      <c r="D58" s="123" t="n">
        <v>0.0575</v>
      </c>
      <c r="E58">
        <f>IF($D58&lt;0.045,"Agresivo",IF($D58&lt;0.0525,"Optimista",IF($D58&lt;0.065,"Normal","Conservador")))</f>
        <v/>
      </c>
      <c r="F58" s="116">
        <f>IF(AND($D58&gt;=0.035,$D58&lt;0.03875000000000001),"▼","")</f>
        <v/>
      </c>
      <c r="G58" s="116">
        <f>IF(AND($D58&gt;=0.03875000000000001,$D58&lt;0.0425),"▼","")</f>
        <v/>
      </c>
      <c r="H58" s="116">
        <f>IF(AND($D58&gt;=0.0425,$D58&lt;0.04625),"▼","")</f>
        <v/>
      </c>
      <c r="I58" s="115">
        <f>IF(AND($D58&gt;=0.04625,$D58&lt;0.05),"▼","")</f>
        <v/>
      </c>
      <c r="J58" s="115">
        <f>IF(AND($D58&gt;=0.05,$D58&lt;0.053750000000000006),"▼","")</f>
        <v/>
      </c>
      <c r="K58" s="114">
        <f>IF(AND($D58&gt;=0.053750000000000006,$D58&lt;0.0575),"▼","")</f>
        <v/>
      </c>
      <c r="L58" s="114">
        <f>IF(AND($D58&gt;=0.0575,$D58&lt;0.06125),"▼","")</f>
        <v/>
      </c>
      <c r="M58" s="114">
        <f>IF(AND($D58&gt;=0.06125,$D58&lt;0.065),"▼","")</f>
        <v/>
      </c>
      <c r="N58" s="113">
        <f>IF(AND($D58&gt;=0.065,$D58&lt;0.06875),"▼","")</f>
        <v/>
      </c>
      <c r="O58" s="113">
        <f>IF(AND($D58&gt;=0.06875,$D58&lt;0.07250000000000001),"▼","")</f>
        <v/>
      </c>
      <c r="P58" s="113">
        <f>IF(AND($D58&gt;=0.07250000000000001,$D58&lt;0.07625),"▼","")</f>
        <v/>
      </c>
      <c r="Q58" s="113">
        <f>IF(AND($D58&gt;=0.07625,$D58&lt;=0.08),"▼","")</f>
        <v/>
      </c>
      <c r="R58" t="inlineStr">
        <is>
          <t>Conservador 6%–8% · Normal 5%–6% · Optimista 4%–5% · Agresivo 4%–4%</t>
        </is>
      </c>
      <c r="S58" s="117" t="inlineStr">
        <is>
          <t>Logística y retail prime en Europa ≈ 4,5-6,5 %</t>
        </is>
      </c>
    </row>
    <row r="60">
      <c r="B60" s="111" t="inlineStr">
        <is>
          <t>Dividendo financiado con deuda (recap)</t>
        </is>
      </c>
      <c r="C60" t="inlineStr">
        <is>
          <t>Activa (1/0)</t>
        </is>
      </c>
      <c r="D60" s="102" t="n">
        <v>1</v>
      </c>
      <c r="R60" s="101" t="inlineStr">
        <is>
          <t>Volver a endeudar la senior para pagar un dividendo al fondo antes de la salida.</t>
        </is>
      </c>
    </row>
    <row r="61">
      <c r="B61" t="inlineStr">
        <is>
          <t xml:space="preserve">   Deuda senior neta objetivo tras el recap</t>
        </is>
      </c>
      <c r="C61" t="inlineStr">
        <is>
          <t>x EBITDA</t>
        </is>
      </c>
      <c r="D61" s="121" t="n">
        <v>2.5</v>
      </c>
      <c r="E61">
        <f>IF($D61&lt;2.0,"Conservador",IF($D61&lt;3.0,"Normal",IF($D61&lt;3.75,"Optimista","Agresivo")))</f>
        <v/>
      </c>
      <c r="F61" s="113">
        <f>IF(AND($D61&gt;=0.0,$D61&lt;0.375),"▼","")</f>
        <v/>
      </c>
      <c r="G61" s="113">
        <f>IF(AND($D61&gt;=0.375,$D61&lt;0.75),"▼","")</f>
        <v/>
      </c>
      <c r="H61" s="113">
        <f>IF(AND($D61&gt;=0.75,$D61&lt;1.125),"▼","")</f>
        <v/>
      </c>
      <c r="I61" s="113">
        <f>IF(AND($D61&gt;=1.125,$D61&lt;1.5),"▼","")</f>
        <v/>
      </c>
      <c r="J61" s="113">
        <f>IF(AND($D61&gt;=1.5,$D61&lt;1.875),"▼","")</f>
        <v/>
      </c>
      <c r="K61" s="114">
        <f>IF(AND($D61&gt;=1.875,$D61&lt;2.25),"▼","")</f>
        <v/>
      </c>
      <c r="L61" s="114">
        <f>IF(AND($D61&gt;=2.25,$D61&lt;2.625),"▼","")</f>
        <v/>
      </c>
      <c r="M61" s="114">
        <f>IF(AND($D61&gt;=2.625,$D61&lt;3.0),"▼","")</f>
        <v/>
      </c>
      <c r="N61" s="115">
        <f>IF(AND($D61&gt;=3.0,$D61&lt;3.375),"▼","")</f>
        <v/>
      </c>
      <c r="O61" s="115">
        <f>IF(AND($D61&gt;=3.375,$D61&lt;3.75),"▼","")</f>
        <v/>
      </c>
      <c r="P61" s="116">
        <f>IF(AND($D61&gt;=3.75,$D61&lt;4.125),"▼","")</f>
        <v/>
      </c>
      <c r="Q61" s="116">
        <f>IF(AND($D61&gt;=4.125,$D61&lt;=4.5),"▼","")</f>
        <v/>
      </c>
      <c r="R61" t="inlineStr">
        <is>
          <t>Conservador 0–2 · Normal 2–3 · Optimista 3–3,75 · Agresivo 3,75–4,5</t>
        </is>
      </c>
      <c r="S61" s="117" t="inlineStr">
        <is>
          <t>Al cierre la senior es 4,5x; en el caso base baja a ≈ 2,5x en 2027</t>
        </is>
      </c>
    </row>
    <row r="62">
      <c r="B62" t="inlineStr">
        <is>
          <t xml:space="preserve">   Año del recap</t>
        </is>
      </c>
      <c r="C62" t="inlineStr">
        <is>
          <t>año</t>
        </is>
      </c>
      <c r="D62" s="112" t="n">
        <v>2028</v>
      </c>
      <c r="R62" t="inlineStr">
        <is>
          <t>2027, 2028 o 2029 (el recap en el año de salida no cuenta)</t>
        </is>
      </c>
      <c r="S62" s="117" t="inlineStr">
        <is>
          <t>2027, 2028 o 2029</t>
        </is>
      </c>
    </row>
    <row r="65">
      <c r="B65" s="111" t="inlineStr">
        <is>
          <t>Contribución de cada palanca</t>
        </is>
      </c>
    </row>
    <row r="66">
      <c r="B66" s="103" t="inlineStr">
        <is>
          <t>Palanca</t>
        </is>
      </c>
      <c r="C66" s="103" t="inlineStr">
        <is>
          <t>Δ ventas 2030</t>
        </is>
      </c>
      <c r="D66" s="103" t="inlineStr">
        <is>
          <t>Δ EBITDA 2030</t>
        </is>
      </c>
      <c r="E66" s="103" t="inlineStr">
        <is>
          <t>Capex 26-30</t>
        </is>
      </c>
    </row>
    <row r="67">
      <c r="B67" t="inlineStr">
        <is>
          <t>Expansión en EE. UU.</t>
        </is>
      </c>
      <c r="C67" s="108">
        <f>Palancas_calc!H35</f>
        <v/>
      </c>
      <c r="D67" s="108">
        <f>Palancas_calc!H36</f>
        <v/>
      </c>
      <c r="E67" s="108">
        <f>SUM(Palancas_calc!D37:H37)</f>
        <v/>
      </c>
    </row>
    <row r="68">
      <c r="B68" t="inlineStr">
        <is>
          <t>Marcas jóvenes (Stradivarius, Oysho, Bershka)</t>
        </is>
      </c>
      <c r="C68" s="108">
        <f>Palancas_calc!H38</f>
        <v/>
      </c>
      <c r="D68" s="108">
        <f>Palancas_calc!H39</f>
        <v/>
      </c>
      <c r="E68" s="108">
        <f>SUM(Palancas_calc!D40:H40)</f>
        <v/>
      </c>
    </row>
    <row r="69">
      <c r="B69" t="inlineStr">
        <is>
          <t>Lefties frente a Shein y Temu</t>
        </is>
      </c>
      <c r="C69" s="108">
        <f>Palancas_calc!H41</f>
        <v/>
      </c>
      <c r="D69" s="108">
        <f>Palancas_calc!H42</f>
        <v/>
      </c>
      <c r="E69" s="108">
        <f>SUM(Palancas_calc!D43:H43)</f>
        <v/>
      </c>
    </row>
    <row r="70">
      <c r="B70" t="inlineStr">
        <is>
          <t>Optimización de tiendas adicional</t>
        </is>
      </c>
      <c r="C70" s="108">
        <f>Palancas_calc!H44</f>
        <v/>
      </c>
      <c r="D70" s="108">
        <f>Palancas_calc!H45</f>
        <v/>
      </c>
      <c r="E70" s="108">
        <f>SUM(Palancas_calc!D46:H46)</f>
        <v/>
      </c>
    </row>
    <row r="71">
      <c r="B71" t="inlineStr">
        <is>
          <t>Eficiencia operativa</t>
        </is>
      </c>
      <c r="C71" s="108" t="inlineStr">
        <is>
          <t>-</t>
        </is>
      </c>
      <c r="D71" s="108">
        <f>Palancas_calc!H47</f>
        <v/>
      </c>
      <c r="E71" s="108" t="inlineStr">
        <is>
          <t>-</t>
        </is>
      </c>
    </row>
    <row r="72">
      <c r="B72" t="inlineStr">
        <is>
          <t>Venta y realquiler de inmuebles (PropCo)</t>
        </is>
      </c>
      <c r="C72" s="108" t="inlineStr">
        <is>
          <t>-</t>
        </is>
      </c>
      <c r="D72" s="108">
        <f>Palancas_calc!H52</f>
        <v/>
      </c>
      <c r="E72" s="108" t="inlineStr">
        <is>
          <t>-</t>
        </is>
      </c>
    </row>
    <row r="73">
      <c r="B73" t="inlineStr">
        <is>
          <t>Circulante: caja liberada acumulada</t>
        </is>
      </c>
      <c r="E73" s="108">
        <f>Palancas_calc!C65</f>
        <v/>
      </c>
    </row>
    <row r="74">
      <c r="B74" t="inlineStr">
        <is>
          <t>PropCo: caja recibida al cierre</t>
        </is>
      </c>
      <c r="E74" s="108">
        <f>Palancas_calc!$C$50</f>
        <v/>
      </c>
    </row>
  </sheetData>
  <conditionalFormatting sqref="E19:E64">
    <cfRule type="cellIs" priority="1" operator="equal" dxfId="0">
      <formula>"Conservador"</formula>
    </cfRule>
    <cfRule type="cellIs" priority="2" operator="equal" dxfId="1">
      <formula>"Normal"</formula>
    </cfRule>
    <cfRule type="cellIs" priority="3" operator="equal" dxfId="2">
      <formula>"Optimista"</formula>
    </cfRule>
    <cfRule type="cellIs" priority="4" operator="equal" dxfId="3">
      <formula>"Agresivo"</formula>
    </cfRule>
  </conditionalFormatting>
  <dataValidations count="30">
    <dataValidation sqref="D4 D19 D26 D33 D40 D46 D51 D55 D60" showDropDown="0" showInputMessage="0" showErrorMessage="0" allowBlank="0" type="whole" operator="between">
      <formula1>0</formula1>
      <formula2>1</formula2>
    </dataValidation>
    <dataValidation sqref="D20" showDropDown="0" showInputMessage="0" showErrorMessage="1" allowBlank="0" error="Fuera del rango estudiado (0 a 80)" type="decimal" operator="between">
      <formula1>0.0</formula1>
      <formula2>80.0</formula2>
    </dataValidation>
    <dataValidation sqref="D21" showDropDown="0" showInputMessage="0" showErrorMessage="1" allowBlank="0" error="Fuera del rango estudiado (5000 a 13000)" type="decimal" operator="between">
      <formula1>5000.0</formula1>
      <formula2>13000.0</formula2>
    </dataValidation>
    <dataValidation sqref="D22" showDropDown="0" showInputMessage="0" showErrorMessage="1" allowBlank="0" error="Fuera del rango estudiado (0.08 a 0.3)" type="decimal" operator="between">
      <formula1>0.08</formula1>
      <formula2>0.3</formula2>
    </dataValidation>
    <dataValidation sqref="D23" showDropDown="0" showInputMessage="0" showErrorMessage="1" allowBlank="0" error="Fuera del rango estudiado (2000 a 9000)" type="decimal" operator="between">
      <formula1>2000.0</formula1>
      <formula2>9000.0</formula2>
    </dataValidation>
    <dataValidation sqref="D24" showDropDown="0" showInputMessage="0" showErrorMessage="1" allowBlank="0" error="Fuera del rango estudiado (0.0 a 0.4)" type="decimal" operator="between">
      <formula1>0.0</formula1>
      <formula2>0.4</formula2>
    </dataValidation>
    <dataValidation sqref="D27" showDropDown="0" showInputMessage="0" showErrorMessage="1" allowBlank="0" error="Fuera del rango estudiado (0 a 100)" type="decimal" operator="between">
      <formula1>0.0</formula1>
      <formula2>100.0</formula2>
    </dataValidation>
    <dataValidation sqref="D28" showDropDown="0" showInputMessage="0" showErrorMessage="1" allowBlank="0" error="Fuera del rango estudiado (5500 a 12000)" type="decimal" operator="between">
      <formula1>5500.0</formula1>
      <formula2>12000.0</formula2>
    </dataValidation>
    <dataValidation sqref="D29" showDropDown="0" showInputMessage="0" showErrorMessage="1" allowBlank="0" error="Fuera del rango estudiado (0.15 a 0.36)" type="decimal" operator="between">
      <formula1>0.15</formula1>
      <formula2>0.36</formula2>
    </dataValidation>
    <dataValidation sqref="D30" showDropDown="0" showInputMessage="0" showErrorMessage="1" allowBlank="0" error="Fuera del rango estudiado (1500 a 6500)" type="decimal" operator="between">
      <formula1>1500.0</formula1>
      <formula2>6500.0</formula2>
    </dataValidation>
    <dataValidation sqref="D31" showDropDown="0" showInputMessage="0" showErrorMessage="1" allowBlank="0" error="Fuera del rango estudiado (0.0 a 0.45)" type="decimal" operator="between">
      <formula1>0.0</formula1>
      <formula2>0.45</formula2>
    </dataValidation>
    <dataValidation sqref="D34" showDropDown="0" showInputMessage="0" showErrorMessage="1" allowBlank="0" error="Fuera del rango estudiado (0 a 70)" type="decimal" operator="between">
      <formula1>0.0</formula1>
      <formula2>70.0</formula2>
    </dataValidation>
    <dataValidation sqref="D35" showDropDown="0" showInputMessage="0" showErrorMessage="1" allowBlank="0" error="Fuera del rango estudiado (3000 a 8500)" type="decimal" operator="between">
      <formula1>3000.0</formula1>
      <formula2>8500.0</formula2>
    </dataValidation>
    <dataValidation sqref="D36" showDropDown="0" showInputMessage="0" showErrorMessage="1" allowBlank="0" error="Fuera del rango estudiado (0.06 a 0.25)" type="decimal" operator="between">
      <formula1>0.06</formula1>
      <formula2>0.25</formula2>
    </dataValidation>
    <dataValidation sqref="D37" showDropDown="0" showInputMessage="0" showErrorMessage="1" allowBlank="0" error="Fuera del rango estudiado (1000 a 4500)" type="decimal" operator="between">
      <formula1>1000.0</formula1>
      <formula2>4500.0</formula2>
    </dataValidation>
    <dataValidation sqref="D38" showDropDown="0" showInputMessage="0" showErrorMessage="1" allowBlank="0" error="Fuera del rango estudiado (0.0 a 0.6)" type="decimal" operator="between">
      <formula1>0.0</formula1>
      <formula2>0.6</formula2>
    </dataValidation>
    <dataValidation sqref="D41" showDropDown="0" showInputMessage="0" showErrorMessage="1" allowBlank="0" error="Fuera del rango estudiado (0 a 200)" type="decimal" operator="between">
      <formula1>0.0</formula1>
      <formula2>200.0</formula2>
    </dataValidation>
    <dataValidation sqref="D42" showDropDown="0" showInputMessage="0" showErrorMessage="1" allowBlank="0" error="Fuera del rango estudiado (0.03 a 0.4)" type="decimal" operator="between">
      <formula1>0.03</formula1>
      <formula2>0.4</formula2>
    </dataValidation>
    <dataValidation sqref="D43" showDropDown="0" showInputMessage="0" showErrorMessage="1" allowBlank="0" error="Fuera del rango estudiado (500 a 3500)" type="decimal" operator="between">
      <formula1>500.0</formula1>
      <formula2>3500.0</formula2>
    </dataValidation>
    <dataValidation sqref="D44" showDropDown="0" showInputMessage="0" showErrorMessage="1" allowBlank="0" error="Fuera del rango estudiado (0.15 a 0.55)" type="decimal" operator="between">
      <formula1>0.15</formula1>
      <formula2>0.55</formula2>
    </dataValidation>
    <dataValidation sqref="D47" showDropDown="0" showInputMessage="0" showErrorMessage="1" allowBlank="0" error="Fuera del rango estudiado (0 a 200)" type="decimal" operator="between">
      <formula1>0.0</formula1>
      <formula2>200.0</formula2>
    </dataValidation>
    <dataValidation sqref="D48" showDropDown="0" showInputMessage="0" showErrorMessage="1" allowBlank="0" error="Fuera del rango estudiado (1 a 5)" type="decimal" operator="between">
      <formula1>1.0</formula1>
      <formula2>5.0</formula2>
    </dataValidation>
    <dataValidation sqref="D49" showDropDown="0" showInputMessage="0" showErrorMessage="1" allowBlank="0" error="Fuera del rango estudiado (0.0 a 2.5)" type="decimal" operator="between">
      <formula1>0.0</formula1>
      <formula2>2.5</formula2>
    </dataValidation>
    <dataValidation sqref="D52" showDropDown="0" showInputMessage="0" showErrorMessage="1" allowBlank="0" error="Fuera del rango estudiado (0.0 a 4.0)" type="decimal" operator="between">
      <formula1>0.0</formula1>
      <formula2>4.0</formula2>
    </dataValidation>
    <dataValidation sqref="D53" showDropDown="0" showInputMessage="0" showErrorMessage="1" allowBlank="0" error="Fuera del rango estudiado (0.0 a 1.8)" type="decimal" operator="between">
      <formula1>0.0</formula1>
      <formula2>1.8</formula2>
    </dataValidation>
    <dataValidation sqref="D56" showDropDown="0" showInputMessage="0" showErrorMessage="1" allowBlank="0" error="Fuera del rango estudiado (0.0 a 1.0)" type="decimal" operator="between">
      <formula1>0.0</formula1>
      <formula2>1.0</formula2>
    </dataValidation>
    <dataValidation sqref="D57" showDropDown="0" showInputMessage="0" showErrorMessage="1" allowBlank="0" error="Fuera del rango estudiado (1.0 a 3.5)" type="decimal" operator="between">
      <formula1>1.0</formula1>
      <formula2>3.5</formula2>
    </dataValidation>
    <dataValidation sqref="D58" showDropDown="0" showInputMessage="0" showErrorMessage="1" allowBlank="0" error="Fuera del rango estudiado (0.035 a 0.08)" type="decimal" operator="between">
      <formula1>0.035</formula1>
      <formula2>0.08</formula2>
    </dataValidation>
    <dataValidation sqref="D61" showDropDown="0" showInputMessage="0" showErrorMessage="1" allowBlank="0" error="Fuera del rango estudiado (0.0 a 4.5)" type="decimal" operator="between">
      <formula1>0.0</formula1>
      <formula2>4.5</formula2>
    </dataValidation>
    <dataValidation sqref="D62" showDropDown="0" showInputMessage="0" showErrorMessage="0" allowBlank="0" type="list">
      <formula1>"2027,2028,2029"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99AAC3"/>
    <outlinePr summaryBelow="1" summaryRight="1"/>
    <pageSetUpPr/>
  </sheetPr>
  <dimension ref="A1:V254"/>
  <sheetViews>
    <sheetView showGridLines="0" tabSelected="1" topLeftCell="H1" zoomScale="92" zoomScaleNormal="100" workbookViewId="0">
      <selection activeCell="AE28" sqref="AE28"/>
    </sheetView>
  </sheetViews>
  <sheetFormatPr baseColWidth="10" defaultColWidth="9.140625" defaultRowHeight="10.2"/>
  <cols>
    <col width="3.140625" customWidth="1" min="1" max="1"/>
    <col width="3.85546875" customWidth="1" min="2" max="2"/>
    <col width="4.85546875" customWidth="1" min="3" max="3"/>
    <col width="38" customWidth="1" min="4" max="4"/>
    <col width="11" customWidth="1" min="5" max="6"/>
    <col width="10.42578125" customWidth="1" min="7" max="7"/>
    <col width="11" customWidth="1" min="8" max="8"/>
    <col width="9.42578125" customWidth="1" min="9" max="9"/>
    <col width="11.42578125" customWidth="1" min="10" max="18"/>
    <col width="3.42578125" customWidth="1" min="19" max="19"/>
    <col width="10" customWidth="1" min="20" max="20"/>
    <col width="11.42578125" customWidth="1" min="21" max="22"/>
  </cols>
  <sheetData>
    <row r="1" ht="18" customHeight="1">
      <c r="A1" s="3" t="n"/>
      <c r="B1" s="4" t="inlineStr">
        <is>
          <t>Project Galicia — Inditex (ITX.MC)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</row>
    <row r="2" ht="15.75" customHeight="1">
      <c r="A2" s="6" t="inlineStr">
        <is>
          <t xml:space="preserve">&gt; </t>
        </is>
      </c>
      <c r="B2" s="6" t="inlineStr">
        <is>
          <t>Control Buyout Model — OPA por el 100% con rollover del 50% de Pontegadea (Senior TLA/TLB + HoldCo PIK + Vendor Loan 1x)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5" t="inlineStr">
        <is>
          <t>Private &amp; Confidential</t>
        </is>
      </c>
      <c r="V2" s="3" t="n"/>
    </row>
    <row r="5" ht="15.75" customHeight="1">
      <c r="A5" s="12" t="inlineStr">
        <is>
          <t>&gt;</t>
        </is>
      </c>
      <c r="B5" s="12" t="inlineStr">
        <is>
          <t>&gt;</t>
        </is>
      </c>
      <c r="C5" s="13" t="inlineStr">
        <is>
          <t>Operating model (100% Inditex Consolidated)</t>
        </is>
      </c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</row>
    <row r="7">
      <c r="B7" s="12" t="inlineStr">
        <is>
          <t>&gt;</t>
        </is>
      </c>
      <c r="C7" s="14" t="inlineStr">
        <is>
          <t>Drivers</t>
        </is>
      </c>
      <c r="D7" s="14" t="n"/>
      <c r="E7" s="15" t="inlineStr">
        <is>
          <t>1</t>
        </is>
      </c>
      <c r="F7" s="15" t="inlineStr">
        <is>
          <t>2</t>
        </is>
      </c>
      <c r="G7" s="15" t="inlineStr">
        <is>
          <t>3</t>
        </is>
      </c>
      <c r="H7" s="15" t="inlineStr">
        <is>
          <t>Active Case:</t>
        </is>
      </c>
      <c r="I7" s="14" t="inlineStr">
        <is>
          <t>4</t>
        </is>
      </c>
      <c r="J7" s="15" t="inlineStr">
        <is>
          <t>31-Jan</t>
        </is>
      </c>
      <c r="K7" s="15" t="inlineStr">
        <is>
          <t>31-Jan</t>
        </is>
      </c>
      <c r="L7" s="15" t="inlineStr">
        <is>
          <t>31-Jan</t>
        </is>
      </c>
      <c r="M7" s="15" t="inlineStr">
        <is>
          <t>31-Jan</t>
        </is>
      </c>
      <c r="N7" s="15" t="inlineStr">
        <is>
          <t>31-Jan</t>
        </is>
      </c>
      <c r="O7" s="15" t="inlineStr">
        <is>
          <t>31-Jan</t>
        </is>
      </c>
      <c r="P7" s="15" t="inlineStr">
        <is>
          <t>31-Jan</t>
        </is>
      </c>
      <c r="Q7" s="15" t="inlineStr">
        <is>
          <t>31-Jan</t>
        </is>
      </c>
      <c r="R7" s="15" t="inlineStr">
        <is>
          <t>31-Jan</t>
        </is>
      </c>
      <c r="S7" s="14" t="n"/>
      <c r="T7" s="14" t="n"/>
      <c r="U7" s="14" t="n"/>
      <c r="V7" s="14" t="n"/>
    </row>
    <row r="8">
      <c r="C8" s="14" t="n"/>
      <c r="D8" s="14" t="inlineStr">
        <is>
          <t>Operating Driver / Scenario Presets</t>
        </is>
      </c>
      <c r="E8" s="15" t="inlineStr">
        <is>
          <t>Base Case</t>
        </is>
      </c>
      <c r="F8" s="15" t="inlineStr">
        <is>
          <t>Bull Case</t>
        </is>
      </c>
      <c r="G8" s="15" t="inlineStr">
        <is>
          <t>Bear Case</t>
        </is>
      </c>
      <c r="H8" s="15">
        <f>CHOOSE($F$9,E8,F8,G8,I8)</f>
        <v/>
      </c>
      <c r="I8" s="14" t="inlineStr">
        <is>
          <t>Bank Case</t>
        </is>
      </c>
      <c r="J8" s="16" t="n">
        <v>2022</v>
      </c>
      <c r="K8" s="16">
        <f>+J8+1</f>
        <v/>
      </c>
      <c r="L8" s="16">
        <f>+K8+1</f>
        <v/>
      </c>
      <c r="M8" s="16">
        <f>+L8+1</f>
        <v/>
      </c>
      <c r="N8" s="17">
        <f>+M8+1</f>
        <v/>
      </c>
      <c r="O8" s="17">
        <f>+N8+1</f>
        <v/>
      </c>
      <c r="P8" s="17">
        <f>+O8+1</f>
        <v/>
      </c>
      <c r="Q8" s="17">
        <f>+P8+1</f>
        <v/>
      </c>
      <c r="R8" s="17">
        <f>+Q8+1</f>
        <v/>
      </c>
      <c r="S8" s="14" t="n"/>
      <c r="T8" s="14" t="n"/>
      <c r="U8" s="14" t="n"/>
      <c r="V8" s="14" t="n"/>
    </row>
    <row r="9">
      <c r="B9" s="9" t="n">
        <v>1</v>
      </c>
      <c r="D9" s="18" t="inlineStr">
        <is>
          <t>Active Scenario Selector (1=Base, 2=Bull, 3=Bear, 4=Bank)</t>
        </is>
      </c>
      <c r="E9" s="19" t="inlineStr">
        <is>
          <t>Select 1-4 -&gt;</t>
        </is>
      </c>
      <c r="F9" s="20" t="n">
        <v>1</v>
      </c>
      <c r="G9" s="18" t="n"/>
      <c r="H9" s="21">
        <f>CHOOSE($F$9,E8,F8,G8,I8)</f>
        <v/>
      </c>
    </row>
    <row r="10">
      <c r="D10" s="22" t="inlineStr">
        <is>
          <t>Revenue growth (% YoY)</t>
        </is>
      </c>
      <c r="E10" s="23" t="n">
        <v>0.055</v>
      </c>
      <c r="F10" s="23" t="n">
        <v>0.08</v>
      </c>
      <c r="G10" s="23" t="n">
        <v>0.0225</v>
      </c>
      <c r="H10" s="24">
        <f>CHOOSE($F$9,E10,F10,G10,I10)</f>
        <v/>
      </c>
      <c r="I10" s="124" t="n">
        <v>0.01311200114781854</v>
      </c>
      <c r="J10" s="23" t="n">
        <v>0.175</v>
      </c>
      <c r="K10" s="23" t="n">
        <v>0.104</v>
      </c>
      <c r="L10" s="23" t="n">
        <v>0.075</v>
      </c>
      <c r="M10" s="23" t="n">
        <v>0.032</v>
      </c>
      <c r="N10" s="25">
        <f>Palancas_calc!D68</f>
        <v/>
      </c>
      <c r="O10" s="25">
        <f>Palancas_calc!E68</f>
        <v/>
      </c>
      <c r="P10" s="25">
        <f>Palancas_calc!F68</f>
        <v/>
      </c>
      <c r="Q10" s="25">
        <f>Palancas_calc!G68</f>
        <v/>
      </c>
      <c r="R10" s="25">
        <f>Palancas_calc!H68</f>
        <v/>
      </c>
    </row>
    <row r="11">
      <c r="D11" s="22" t="inlineStr">
        <is>
          <t>Gross margin (% of revenues)</t>
        </is>
      </c>
      <c r="E11" s="23" t="n">
        <v>0.582</v>
      </c>
      <c r="F11" s="23" t="n">
        <v>0.59</v>
      </c>
      <c r="G11" s="23" t="n">
        <v>0.57</v>
      </c>
      <c r="H11" s="24">
        <f>CHOOSE($F$9,E11,F11,G11,I11)</f>
        <v/>
      </c>
      <c r="I11" s="124" t="n">
        <v>0.5742030664437843</v>
      </c>
      <c r="J11" s="26">
        <f>+J23/J$21</f>
        <v/>
      </c>
      <c r="K11" s="26">
        <f>+K23/K$21</f>
        <v/>
      </c>
      <c r="L11" s="26">
        <f>+L23/L$21</f>
        <v/>
      </c>
      <c r="M11" s="26">
        <f>+M23/M$21</f>
        <v/>
      </c>
      <c r="N11" s="25">
        <f>Palancas_calc!D69</f>
        <v/>
      </c>
      <c r="O11" s="25">
        <f>Palancas_calc!E69</f>
        <v/>
      </c>
      <c r="P11" s="25">
        <f>Palancas_calc!F69</f>
        <v/>
      </c>
      <c r="Q11" s="25">
        <f>Palancas_calc!G69</f>
        <v/>
      </c>
      <c r="R11" s="25">
        <f>Palancas_calc!H69</f>
        <v/>
      </c>
    </row>
    <row r="12">
      <c r="D12" s="22" t="inlineStr">
        <is>
          <t>OpEx growth (% YoY)</t>
        </is>
      </c>
      <c r="E12" s="23" t="n">
        <v>0.0425</v>
      </c>
      <c r="F12" s="23" t="n">
        <v>0.055</v>
      </c>
      <c r="G12" s="23" t="n">
        <v>0.0325</v>
      </c>
      <c r="H12" s="24">
        <f>CHOOSE($F$9,E12,F12,G12,I12)</f>
        <v/>
      </c>
      <c r="I12" s="124" t="n">
        <v>0.01442868987594625</v>
      </c>
      <c r="J12" s="23" t="n">
        <v>0.109</v>
      </c>
      <c r="K12" s="23" t="n">
        <v>0.1</v>
      </c>
      <c r="L12" s="23" t="n">
        <v>0.065</v>
      </c>
      <c r="M12" s="23" t="n">
        <v>0.028</v>
      </c>
      <c r="N12" s="25">
        <f>Palancas_calc!D70</f>
        <v/>
      </c>
      <c r="O12" s="25">
        <f>Palancas_calc!E70</f>
        <v/>
      </c>
      <c r="P12" s="25">
        <f>Palancas_calc!F70</f>
        <v/>
      </c>
      <c r="Q12" s="25">
        <f>Palancas_calc!G70</f>
        <v/>
      </c>
      <c r="R12" s="25">
        <f>Palancas_calc!H70</f>
        <v/>
      </c>
    </row>
    <row r="13">
      <c r="D13" s="22" t="inlineStr">
        <is>
          <t>Fixed lease cash outflow growth (%)</t>
        </is>
      </c>
      <c r="E13" s="23" t="n">
        <v>0.02</v>
      </c>
      <c r="F13" s="23" t="n">
        <v>0.03</v>
      </c>
      <c r="G13" s="23" t="n">
        <v>0.01</v>
      </c>
      <c r="H13" s="24">
        <f>CHOOSE($F$9,E13,F13,G13,I13)</f>
        <v/>
      </c>
      <c r="I13" s="124" t="n">
        <v>0.03692095564410691</v>
      </c>
      <c r="J13" s="23" t="n">
        <v>0.05</v>
      </c>
      <c r="K13" s="26">
        <f>+K28/J28-1</f>
        <v/>
      </c>
      <c r="L13" s="26">
        <f>+L28/K28-1</f>
        <v/>
      </c>
      <c r="M13" s="26">
        <f>+M28/L28-1</f>
        <v/>
      </c>
      <c r="N13" s="25">
        <f>Palancas_calc!D71</f>
        <v/>
      </c>
      <c r="O13" s="25">
        <f>Palancas_calc!E71</f>
        <v/>
      </c>
      <c r="P13" s="25">
        <f>Palancas_calc!F71</f>
        <v/>
      </c>
      <c r="Q13" s="25">
        <f>Palancas_calc!G71</f>
        <v/>
      </c>
      <c r="R13" s="25">
        <f>Palancas_calc!H71</f>
        <v/>
      </c>
    </row>
    <row r="14">
      <c r="D14" s="22" t="inlineStr">
        <is>
          <t>Capex (% of revenues)</t>
        </is>
      </c>
      <c r="E14" s="23" t="n">
        <v>0.052</v>
      </c>
      <c r="F14" s="23" t="n">
        <v>0.0535</v>
      </c>
      <c r="G14" s="23" t="n">
        <v>0.049</v>
      </c>
      <c r="H14" s="24">
        <f>CHOOSE($F$9,E14,F14,G14,I14)</f>
        <v/>
      </c>
      <c r="I14" s="124" t="n">
        <v>0.04982663457063491</v>
      </c>
      <c r="J14" s="26">
        <f>+J58/J$21</f>
        <v/>
      </c>
      <c r="K14" s="26">
        <f>+K58/K$21</f>
        <v/>
      </c>
      <c r="L14" s="26">
        <f>+L58/L$21</f>
        <v/>
      </c>
      <c r="M14" s="26">
        <f>+M58/M$21</f>
        <v/>
      </c>
      <c r="N14" s="25">
        <f>Palancas_calc!D72</f>
        <v/>
      </c>
      <c r="O14" s="25">
        <f>Palancas_calc!E72</f>
        <v/>
      </c>
      <c r="P14" s="25">
        <f>Palancas_calc!F72</f>
        <v/>
      </c>
      <c r="Q14" s="25">
        <f>Palancas_calc!G72</f>
        <v/>
      </c>
      <c r="R14" s="25">
        <f>Palancas_calc!H72</f>
        <v/>
      </c>
    </row>
    <row r="15">
      <c r="D15" s="22" t="inlineStr">
        <is>
          <t>Inventory (% of revenues)</t>
        </is>
      </c>
      <c r="E15" s="23" t="n">
        <v>0.0815</v>
      </c>
      <c r="F15" s="23" t="n">
        <v>0.079</v>
      </c>
      <c r="G15" s="23" t="n">
        <v>0.08500000000000001</v>
      </c>
      <c r="H15" s="24">
        <f>CHOOSE($F$9,E15,F15,G15,I15)</f>
        <v/>
      </c>
      <c r="I15" s="124" t="n">
        <v>0.08369801785150749</v>
      </c>
      <c r="J15" s="26">
        <f>+J44/J$21</f>
        <v/>
      </c>
      <c r="K15" s="26">
        <f>+K44/K$21</f>
        <v/>
      </c>
      <c r="L15" s="26">
        <f>+L44/L$21</f>
        <v/>
      </c>
      <c r="M15" s="26">
        <f>+M44/M$21</f>
        <v/>
      </c>
      <c r="N15" s="25">
        <f>Palancas_calc!D73</f>
        <v/>
      </c>
      <c r="O15" s="25">
        <f>Palancas_calc!E73</f>
        <v/>
      </c>
      <c r="P15" s="25">
        <f>Palancas_calc!F73</f>
        <v/>
      </c>
      <c r="Q15" s="25">
        <f>Palancas_calc!G73</f>
        <v/>
      </c>
      <c r="R15" s="25">
        <f>Palancas_calc!H73</f>
        <v/>
      </c>
    </row>
    <row r="16">
      <c r="D16" s="22" t="inlineStr">
        <is>
          <t>Receivables (% of revenues)</t>
        </is>
      </c>
      <c r="E16" s="23" t="n">
        <v>0.0292</v>
      </c>
      <c r="F16" s="23" t="n">
        <v>0.0285</v>
      </c>
      <c r="G16" s="23" t="n">
        <v>0.03</v>
      </c>
      <c r="H16" s="24">
        <f>CHOOSE($F$9,E16,F16,G16,I16)</f>
        <v/>
      </c>
      <c r="I16" s="124" t="n">
        <v>0.02875278657738867</v>
      </c>
      <c r="J16" s="26">
        <f>+J45/J$21</f>
        <v/>
      </c>
      <c r="K16" s="26">
        <f>+K45/K$21</f>
        <v/>
      </c>
      <c r="L16" s="26">
        <f>+L45/L$21</f>
        <v/>
      </c>
      <c r="M16" s="26">
        <f>+M45/M$21</f>
        <v/>
      </c>
      <c r="N16" s="25">
        <f>Palancas_calc!D74</f>
        <v/>
      </c>
      <c r="O16" s="25">
        <f>Palancas_calc!E74</f>
        <v/>
      </c>
      <c r="P16" s="25">
        <f>Palancas_calc!F74</f>
        <v/>
      </c>
      <c r="Q16" s="25">
        <f>Palancas_calc!G74</f>
        <v/>
      </c>
      <c r="R16" s="25">
        <f>Palancas_calc!H74</f>
        <v/>
      </c>
    </row>
    <row r="17">
      <c r="D17" s="22" t="inlineStr">
        <is>
          <t>Payables (% of revenues, negative)</t>
        </is>
      </c>
      <c r="E17" s="23" t="n">
        <v>-0.2154</v>
      </c>
      <c r="F17" s="23" t="n">
        <v>-0.2155</v>
      </c>
      <c r="G17" s="23" t="n">
        <v>-0.213</v>
      </c>
      <c r="H17" s="24">
        <f>CHOOSE($F$9,E17,F17,G17,I17)</f>
        <v/>
      </c>
      <c r="I17" s="124" t="n">
        <v>-0.2149623522470008</v>
      </c>
      <c r="J17" s="26">
        <f>+J46/J$21</f>
        <v/>
      </c>
      <c r="K17" s="26">
        <f>+K46/K$21</f>
        <v/>
      </c>
      <c r="L17" s="26">
        <f>+L46/L$21</f>
        <v/>
      </c>
      <c r="M17" s="26">
        <f>+M46/M$21</f>
        <v/>
      </c>
      <c r="N17" s="25">
        <f>Palancas_calc!D75</f>
        <v/>
      </c>
      <c r="O17" s="25">
        <f>Palancas_calc!E75</f>
        <v/>
      </c>
      <c r="P17" s="25">
        <f>Palancas_calc!F75</f>
        <v/>
      </c>
      <c r="Q17" s="25">
        <f>Palancas_calc!G75</f>
        <v/>
      </c>
      <c r="R17" s="25">
        <f>Palancas_calc!H75</f>
        <v/>
      </c>
    </row>
    <row r="18">
      <c r="D18" t="inlineStr">
        <is>
          <t>Drivers source (1 = Business_Plan año a año, 0 = presets planos E:I)</t>
        </is>
      </c>
      <c r="F18" s="125" t="n">
        <v>1</v>
      </c>
    </row>
    <row r="19" ht="13.5" customHeight="1">
      <c r="B19" s="12" t="inlineStr">
        <is>
          <t>&gt;</t>
        </is>
      </c>
      <c r="C19" s="14" t="inlineStr">
        <is>
          <t>P&amp;L</t>
        </is>
      </c>
      <c r="D19" s="14" t="n"/>
      <c r="E19" s="14" t="n"/>
      <c r="F19" s="14" t="n"/>
      <c r="G19" s="14" t="n"/>
      <c r="H19" s="14" t="n"/>
      <c r="I19" s="14" t="n"/>
      <c r="J19" s="15" t="inlineStr">
        <is>
          <t>31-Jan</t>
        </is>
      </c>
      <c r="K19" s="15" t="inlineStr">
        <is>
          <t>31-Jan</t>
        </is>
      </c>
      <c r="L19" s="15" t="inlineStr">
        <is>
          <t>31-Jan</t>
        </is>
      </c>
      <c r="M19" s="15" t="inlineStr">
        <is>
          <t>31-Jan</t>
        </is>
      </c>
      <c r="N19" s="15" t="inlineStr">
        <is>
          <t>31-Jan</t>
        </is>
      </c>
      <c r="O19" s="15" t="inlineStr">
        <is>
          <t>31-Jan</t>
        </is>
      </c>
      <c r="P19" s="15" t="inlineStr">
        <is>
          <t>31-Jan</t>
        </is>
      </c>
      <c r="Q19" s="15" t="inlineStr">
        <is>
          <t>31-Jan</t>
        </is>
      </c>
      <c r="R19" s="15" t="inlineStr">
        <is>
          <t>31-Jan</t>
        </is>
      </c>
      <c r="S19" s="14" t="n"/>
      <c r="T19" s="14" t="n"/>
      <c r="U19" s="2" t="inlineStr">
        <is>
          <t>CAGR
22A-25A</t>
        </is>
      </c>
      <c r="V19" s="2" t="inlineStr">
        <is>
          <t>CAGR
25A-30E</t>
        </is>
      </c>
    </row>
    <row r="20" ht="13.5" customHeight="1">
      <c r="C20" s="14" t="inlineStr">
        <is>
          <t>€m</t>
        </is>
      </c>
      <c r="D20" s="14" t="n"/>
      <c r="E20" s="14" t="n"/>
      <c r="F20" s="14" t="n"/>
      <c r="G20" s="14" t="n"/>
      <c r="H20" s="14" t="n"/>
      <c r="I20" s="14" t="n"/>
      <c r="J20" s="16" t="n">
        <v>2022</v>
      </c>
      <c r="K20" s="16">
        <f>+J20+1</f>
        <v/>
      </c>
      <c r="L20" s="16">
        <f>+K20+1</f>
        <v/>
      </c>
      <c r="M20" s="16">
        <f>+L20+1</f>
        <v/>
      </c>
      <c r="N20" s="17">
        <f>+M20+1</f>
        <v/>
      </c>
      <c r="O20" s="17">
        <f>+N20+1</f>
        <v/>
      </c>
      <c r="P20" s="17">
        <f>+O20+1</f>
        <v/>
      </c>
      <c r="Q20" s="17">
        <f>+P20+1</f>
        <v/>
      </c>
      <c r="R20" s="17">
        <f>+Q20+1</f>
        <v/>
      </c>
      <c r="S20" s="14" t="n"/>
      <c r="T20" s="14" t="n"/>
    </row>
    <row r="21">
      <c r="B21" s="9" t="n">
        <v>2</v>
      </c>
      <c r="D21" s="18" t="inlineStr">
        <is>
          <t>Revenues (100% Inditex)</t>
        </is>
      </c>
      <c r="E21" s="18" t="n"/>
      <c r="F21" s="18" t="n"/>
      <c r="G21" s="18" t="n"/>
      <c r="H21" s="18" t="n"/>
      <c r="I21" s="18" t="n"/>
      <c r="J21" s="27" t="n">
        <v>32569</v>
      </c>
      <c r="K21" s="27" t="n">
        <v>35947</v>
      </c>
      <c r="L21" s="27" t="n">
        <v>38632</v>
      </c>
      <c r="M21" s="27" t="n">
        <v>39864</v>
      </c>
      <c r="N21" s="28">
        <f>+M21*(1+N10)</f>
        <v/>
      </c>
      <c r="O21" s="28">
        <f>+N21*(1+O10)</f>
        <v/>
      </c>
      <c r="P21" s="28">
        <f>+O21*(1+P10)</f>
        <v/>
      </c>
      <c r="Q21" s="28">
        <f>+P21*(1+Q10)</f>
        <v/>
      </c>
      <c r="R21" s="28">
        <f>+Q21*(1+R10)</f>
        <v/>
      </c>
      <c r="S21" s="18" t="n"/>
      <c r="T21" s="18" t="n"/>
      <c r="U21" s="29">
        <f>+IFERROR((M21/J21)^(1/(M$20-J$20))-1,0)</f>
        <v/>
      </c>
      <c r="V21" s="29">
        <f>+IFERROR((R21/M21)^(1/(R$20-M$20))-1,"n.a.")</f>
        <v/>
      </c>
    </row>
    <row r="22">
      <c r="D22" s="22" t="inlineStr">
        <is>
          <t>COGS</t>
        </is>
      </c>
      <c r="J22" s="30">
        <f>+J23-J21</f>
        <v/>
      </c>
      <c r="K22" s="30">
        <f>+K23-K21</f>
        <v/>
      </c>
      <c r="L22" s="30">
        <f>+L23-L21</f>
        <v/>
      </c>
      <c r="M22" s="30">
        <f>+M23-M21</f>
        <v/>
      </c>
      <c r="N22" s="30">
        <f>+N23-N21</f>
        <v/>
      </c>
      <c r="O22" s="30">
        <f>+O23-O21</f>
        <v/>
      </c>
      <c r="P22" s="30">
        <f>+P23-P21</f>
        <v/>
      </c>
      <c r="Q22" s="30">
        <f>+Q23-Q21</f>
        <v/>
      </c>
      <c r="R22" s="30">
        <f>+R23-R21</f>
        <v/>
      </c>
      <c r="U22" s="31">
        <f>+IFERROR((M22/J22)^(1/(M$20-J$20))-1,0)</f>
        <v/>
      </c>
      <c r="V22" s="31">
        <f>+IFERROR((R22/M22)^(1/(R$20-M$20))-1,"n.a.")</f>
        <v/>
      </c>
    </row>
    <row r="23">
      <c r="D23" s="18" t="inlineStr">
        <is>
          <t>Gross margin</t>
        </is>
      </c>
      <c r="E23" s="18" t="n"/>
      <c r="F23" s="18" t="n"/>
      <c r="G23" s="18" t="n"/>
      <c r="H23" s="18" t="n"/>
      <c r="I23" s="18" t="n"/>
      <c r="J23" s="27" t="n">
        <v>18559</v>
      </c>
      <c r="K23" s="27" t="n">
        <v>20762</v>
      </c>
      <c r="L23" s="27" t="n">
        <v>22343</v>
      </c>
      <c r="M23" s="27" t="n">
        <v>23222</v>
      </c>
      <c r="N23" s="28">
        <f>+N21*N11</f>
        <v/>
      </c>
      <c r="O23" s="28">
        <f>+O21*O11</f>
        <v/>
      </c>
      <c r="P23" s="28">
        <f>+P21*P11</f>
        <v/>
      </c>
      <c r="Q23" s="28">
        <f>+Q21*Q11</f>
        <v/>
      </c>
      <c r="R23" s="28">
        <f>+R21*R11</f>
        <v/>
      </c>
      <c r="S23" s="18" t="n"/>
      <c r="T23" s="18" t="n"/>
      <c r="U23" s="29">
        <f>+IFERROR((M23/J23)^(1/(M$20-J$20))-1,0)</f>
        <v/>
      </c>
      <c r="V23" s="29">
        <f>+IFERROR((R23/M23)^(1/(R$20-M$20))-1,"n.a.")</f>
        <v/>
      </c>
    </row>
    <row r="24">
      <c r="D24" s="32" t="inlineStr">
        <is>
          <t>% margin</t>
        </is>
      </c>
      <c r="J24" s="33">
        <f>+IFERROR(J23/J$21,0)</f>
        <v/>
      </c>
      <c r="K24" s="33">
        <f>+IFERROR(K23/K$21,0)</f>
        <v/>
      </c>
      <c r="L24" s="33">
        <f>+IFERROR(L23/L$21,0)</f>
        <v/>
      </c>
      <c r="M24" s="33">
        <f>+IFERROR(M23/M$21,0)</f>
        <v/>
      </c>
      <c r="N24" s="33">
        <f>+IFERROR(N23/N$21,0)</f>
        <v/>
      </c>
      <c r="O24" s="33">
        <f>+IFERROR(O23/O$21,0)</f>
        <v/>
      </c>
      <c r="P24" s="33">
        <f>+IFERROR(P23/P$21,0)</f>
        <v/>
      </c>
      <c r="Q24" s="33">
        <f>+IFERROR(Q23/Q$21,0)</f>
        <v/>
      </c>
      <c r="R24" s="33">
        <f>+IFERROR(R23/R$21,0)</f>
        <v/>
      </c>
      <c r="U24" s="31">
        <f>+IFERROR((M24/J24)^(1/(M$20-J$20))-1,0)</f>
        <v/>
      </c>
      <c r="V24" s="31">
        <f>+IFERROR((R24/M24)^(1/(R$20-M$20))-1,"n.a.")</f>
        <v/>
      </c>
    </row>
    <row r="25">
      <c r="D25" s="22" t="inlineStr">
        <is>
          <t>Opex (incl. variable turnover rent)</t>
        </is>
      </c>
      <c r="J25" s="34" t="n">
        <v>-9910</v>
      </c>
      <c r="K25" s="34" t="n">
        <v>-10912</v>
      </c>
      <c r="L25" s="34" t="n">
        <v>-11615</v>
      </c>
      <c r="M25" s="34" t="n">
        <v>-11955</v>
      </c>
      <c r="N25" s="35">
        <f>+M25*(1+N12)</f>
        <v/>
      </c>
      <c r="O25" s="35">
        <f>+N25*(1+O12)</f>
        <v/>
      </c>
      <c r="P25" s="35">
        <f>+O25*(1+P12)</f>
        <v/>
      </c>
      <c r="Q25" s="35">
        <f>+P25*(1+Q12)</f>
        <v/>
      </c>
      <c r="R25" s="35">
        <f>+Q25*(1+R12)</f>
        <v/>
      </c>
      <c r="U25" s="31">
        <f>+IFERROR((M25/J25)^(1/(M$20-J$20))-1,0)</f>
        <v/>
      </c>
      <c r="V25" s="31">
        <f>+IFERROR((R25/M25)^(1/(R$20-M$20))-1,"n.a.")</f>
        <v/>
      </c>
    </row>
    <row r="26">
      <c r="D26" s="18" t="inlineStr">
        <is>
          <t>Reported EBITDA (Post-IFRS 16 — 100% Inditex)</t>
        </is>
      </c>
      <c r="E26" s="18" t="n"/>
      <c r="F26" s="18" t="n"/>
      <c r="G26" s="18" t="n"/>
      <c r="H26" s="18" t="n"/>
      <c r="I26" s="18" t="n"/>
      <c r="J26" s="28">
        <f>+J23+J25</f>
        <v/>
      </c>
      <c r="K26" s="28">
        <f>+K23+K25</f>
        <v/>
      </c>
      <c r="L26" s="28">
        <f>+L23+L25</f>
        <v/>
      </c>
      <c r="M26" s="28">
        <f>+M23+M25</f>
        <v/>
      </c>
      <c r="N26" s="28">
        <f>+N23+N25</f>
        <v/>
      </c>
      <c r="O26" s="28">
        <f>+O23+O25</f>
        <v/>
      </c>
      <c r="P26" s="28">
        <f>+P23+P25</f>
        <v/>
      </c>
      <c r="Q26" s="28">
        <f>+Q23+Q25</f>
        <v/>
      </c>
      <c r="R26" s="28">
        <f>+R23+R25</f>
        <v/>
      </c>
      <c r="S26" s="18" t="n"/>
      <c r="T26" s="18" t="n"/>
      <c r="U26" s="29">
        <f>+IFERROR((M26/J26)^(1/(M$20-J$20))-1,0)</f>
        <v/>
      </c>
      <c r="V26" s="29">
        <f>+IFERROR((R26/M26)^(1/(R$20-M$20))-1,"n.a.")</f>
        <v/>
      </c>
    </row>
    <row r="27">
      <c r="D27" s="32" t="inlineStr">
        <is>
          <t>% margin (Post-IFRS 16)</t>
        </is>
      </c>
      <c r="J27" s="33">
        <f>+IFERROR(J26/J$21,0)</f>
        <v/>
      </c>
      <c r="K27" s="33">
        <f>+IFERROR(K26/K$21,0)</f>
        <v/>
      </c>
      <c r="L27" s="33">
        <f>+IFERROR(L26/L$21,0)</f>
        <v/>
      </c>
      <c r="M27" s="33">
        <f>+IFERROR(M26/M$21,0)</f>
        <v/>
      </c>
      <c r="N27" s="33">
        <f>+IFERROR(N26/N$21,0)</f>
        <v/>
      </c>
      <c r="O27" s="33">
        <f>+IFERROR(O26/O$21,0)</f>
        <v/>
      </c>
      <c r="P27" s="33">
        <f>+IFERROR(P26/P$21,0)</f>
        <v/>
      </c>
      <c r="Q27" s="33">
        <f>+IFERROR(Q26/Q$21,0)</f>
        <v/>
      </c>
      <c r="R27" s="33">
        <f>+IFERROR(R26/R$21,0)</f>
        <v/>
      </c>
      <c r="U27" s="31">
        <f>+IFERROR((M27/J27)^(1/(M$20-J$20))-1,0)</f>
        <v/>
      </c>
      <c r="V27" s="31">
        <f>+IFERROR((R27/M27)^(1/(R$20-M$20))-1,"n.a.")</f>
        <v/>
      </c>
    </row>
    <row r="28">
      <c r="D28" s="22" t="inlineStr">
        <is>
          <t>Less: Fixed cash lease outflow (IFRS 16 store rents)</t>
        </is>
      </c>
      <c r="J28" s="34" t="n">
        <v>-1621</v>
      </c>
      <c r="K28" s="34" t="n">
        <v>-1733</v>
      </c>
      <c r="L28" s="34" t="n">
        <v>-1802</v>
      </c>
      <c r="M28" s="34" t="n">
        <v>-1834</v>
      </c>
      <c r="N28" s="35">
        <f>+M28*(1+N13)</f>
        <v/>
      </c>
      <c r="O28" s="35">
        <f>+N28*(1+O13)</f>
        <v/>
      </c>
      <c r="P28" s="35">
        <f>+O28*(1+P13)</f>
        <v/>
      </c>
      <c r="Q28" s="35">
        <f>+P28*(1+Q13)</f>
        <v/>
      </c>
      <c r="R28" s="35">
        <f>+Q28*(1+R13)</f>
        <v/>
      </c>
      <c r="U28" s="31">
        <f>+IFERROR((M28/J28)^(1/(M$20-J$20))-1,0)</f>
        <v/>
      </c>
      <c r="V28" s="31">
        <f>+IFERROR((R28/M28)^(1/(R$20-M$20))-1,"n.a.")</f>
        <v/>
      </c>
    </row>
    <row r="29">
      <c r="D29" s="36" t="inlineStr">
        <is>
          <t>Pre-IFRS 16 Cash EBITDA (100% Inditex)</t>
        </is>
      </c>
      <c r="E29" s="36" t="n"/>
      <c r="F29" s="36" t="n"/>
      <c r="G29" s="36" t="n"/>
      <c r="H29" s="36" t="n"/>
      <c r="I29" s="36" t="n"/>
      <c r="J29" s="37">
        <f>+J26+J28</f>
        <v/>
      </c>
      <c r="K29" s="37">
        <f>+K26+K28</f>
        <v/>
      </c>
      <c r="L29" s="37">
        <f>+L26+L28</f>
        <v/>
      </c>
      <c r="M29" s="37">
        <f>+M26+M28</f>
        <v/>
      </c>
      <c r="N29" s="37">
        <f>+N26+N28</f>
        <v/>
      </c>
      <c r="O29" s="37">
        <f>+O26+O28</f>
        <v/>
      </c>
      <c r="P29" s="37">
        <f>+P26+P28</f>
        <v/>
      </c>
      <c r="Q29" s="37">
        <f>+Q26+Q28</f>
        <v/>
      </c>
      <c r="R29" s="37">
        <f>+R26+R28</f>
        <v/>
      </c>
      <c r="S29" s="36" t="n"/>
      <c r="T29" s="36" t="n"/>
      <c r="U29" s="38">
        <f>+IFERROR((M29/J29)^(1/(M$20-J$20))-1,0)</f>
        <v/>
      </c>
      <c r="V29" s="38">
        <f>+IFERROR((R29/M29)^(1/(R$20-M$20))-1,"n.a.")</f>
        <v/>
      </c>
    </row>
    <row r="30">
      <c r="D30" s="32" t="inlineStr">
        <is>
          <t>% margin (Pre-IFRS 16)</t>
        </is>
      </c>
      <c r="J30" s="33">
        <f>+IFERROR(J29/J$21,0)</f>
        <v/>
      </c>
      <c r="K30" s="33">
        <f>+IFERROR(K29/K$21,0)</f>
        <v/>
      </c>
      <c r="L30" s="33">
        <f>+IFERROR(L29/L$21,0)</f>
        <v/>
      </c>
      <c r="M30" s="33">
        <f>+IFERROR(M29/M$21,0)</f>
        <v/>
      </c>
      <c r="N30" s="33">
        <f>+IFERROR(N29/N$21,0)</f>
        <v/>
      </c>
      <c r="O30" s="33">
        <f>+IFERROR(O29/O$21,0)</f>
        <v/>
      </c>
      <c r="P30" s="33">
        <f>+IFERROR(P29/P$21,0)</f>
        <v/>
      </c>
      <c r="Q30" s="33">
        <f>+IFERROR(Q29/Q$21,0)</f>
        <v/>
      </c>
      <c r="R30" s="33">
        <f>+IFERROR(R29/R$21,0)</f>
        <v/>
      </c>
      <c r="U30" s="31">
        <f>+IFERROR((M30/J30)^(1/(M$20-J$20))-1,0)</f>
        <v/>
      </c>
      <c r="V30" s="31">
        <f>+IFERROR((R30/M30)^(1/(R$20-M$20))-1,"n.a.")</f>
        <v/>
      </c>
    </row>
    <row r="31">
      <c r="D31" s="22" t="inlineStr">
        <is>
          <t>D&amp;A (Owned PP&amp;E &amp; intangibles — 100% Inditex)</t>
        </is>
      </c>
      <c r="J31" s="30">
        <f>+J56</f>
        <v/>
      </c>
      <c r="K31" s="30">
        <f>+K56</f>
        <v/>
      </c>
      <c r="L31" s="30">
        <f>+L56</f>
        <v/>
      </c>
      <c r="M31" s="30">
        <f>+M56</f>
        <v/>
      </c>
      <c r="N31" s="30">
        <f>+N56</f>
        <v/>
      </c>
      <c r="O31" s="30">
        <f>+O56</f>
        <v/>
      </c>
      <c r="P31" s="30">
        <f>+P56</f>
        <v/>
      </c>
      <c r="Q31" s="30">
        <f>+Q56</f>
        <v/>
      </c>
      <c r="R31" s="30">
        <f>+R56</f>
        <v/>
      </c>
      <c r="U31" s="31">
        <f>+IFERROR((M31/J31)^(1/(M$20-J$20))-1,0)</f>
        <v/>
      </c>
      <c r="V31" s="31">
        <f>+IFERROR((R31/M31)^(1/(R$20-M$20))-1,"n.a.")</f>
        <v/>
      </c>
    </row>
    <row r="32">
      <c r="D32" s="18" t="inlineStr">
        <is>
          <t>Adj. EBIT (Pre-IFRS 16 — 100% Inditex)</t>
        </is>
      </c>
      <c r="E32" s="18" t="n"/>
      <c r="F32" s="18" t="n"/>
      <c r="G32" s="18" t="n"/>
      <c r="H32" s="18" t="n"/>
      <c r="I32" s="18" t="n"/>
      <c r="J32" s="28">
        <f>+J29+J31</f>
        <v/>
      </c>
      <c r="K32" s="28">
        <f>+K29+K31</f>
        <v/>
      </c>
      <c r="L32" s="28">
        <f>+L29+L31</f>
        <v/>
      </c>
      <c r="M32" s="28">
        <f>+M29+M31</f>
        <v/>
      </c>
      <c r="N32" s="28">
        <f>+N29+N31</f>
        <v/>
      </c>
      <c r="O32" s="28">
        <f>+O29+O31</f>
        <v/>
      </c>
      <c r="P32" s="28">
        <f>+P29+P31</f>
        <v/>
      </c>
      <c r="Q32" s="28">
        <f>+Q29+Q31</f>
        <v/>
      </c>
      <c r="R32" s="28">
        <f>+R29+R31</f>
        <v/>
      </c>
      <c r="S32" s="18" t="n"/>
      <c r="T32" s="18" t="n"/>
      <c r="U32" s="29">
        <f>+IFERROR((M32/J32)^(1/(M$20-J$20))-1,0)</f>
        <v/>
      </c>
      <c r="V32" s="29">
        <f>+IFERROR((R32/M32)^(1/(R$20-M$20))-1,"n.a.")</f>
        <v/>
      </c>
    </row>
    <row r="33">
      <c r="D33" s="32" t="inlineStr">
        <is>
          <t>Attributable Adj. EBIT (% Stake Acquired)</t>
        </is>
      </c>
      <c r="F33" s="39">
        <f>+F168</f>
        <v/>
      </c>
      <c r="J33" s="40">
        <f>+J32*$F$168</f>
        <v/>
      </c>
      <c r="K33" s="40">
        <f>+K32*$F$168</f>
        <v/>
      </c>
      <c r="L33" s="40">
        <f>+L32*$F$168</f>
        <v/>
      </c>
      <c r="M33" s="40">
        <f>+M32*$F$168</f>
        <v/>
      </c>
      <c r="N33" s="40">
        <f>+N32*$F$168</f>
        <v/>
      </c>
      <c r="O33" s="40">
        <f>+O32*$F$168</f>
        <v/>
      </c>
      <c r="P33" s="40">
        <f>+P32*$F$168</f>
        <v/>
      </c>
      <c r="Q33" s="40">
        <f>+Q32*$F$168</f>
        <v/>
      </c>
      <c r="R33" s="40">
        <f>+R32*$F$168</f>
        <v/>
      </c>
      <c r="U33" s="31">
        <f>+IFERROR((M33/J33)^(1/(M$20-J$20))-1,0)</f>
        <v/>
      </c>
      <c r="V33" s="31">
        <f>+IFERROR((R33/M33)^(1/(R$20-M$20))-1,"n.a.")</f>
        <v/>
      </c>
    </row>
    <row r="34">
      <c r="D34" s="22" t="inlineStr">
        <is>
          <t>Interests (Senior + Subordinated + Vendor Loan)</t>
        </is>
      </c>
      <c r="F34" s="39">
        <f>+F177</f>
        <v/>
      </c>
      <c r="J34" s="34" t="n">
        <v>-44.4</v>
      </c>
      <c r="K34" s="34" t="n">
        <v>39.2</v>
      </c>
      <c r="L34" s="34" t="n">
        <v>14.8</v>
      </c>
      <c r="M34" s="34" t="n">
        <v>14.8</v>
      </c>
      <c r="N34" s="30">
        <f>+N133</f>
        <v/>
      </c>
      <c r="O34" s="30">
        <f>+O133</f>
        <v/>
      </c>
      <c r="P34" s="30">
        <f>+P133</f>
        <v/>
      </c>
      <c r="Q34" s="30">
        <f>+Q133</f>
        <v/>
      </c>
      <c r="R34" s="30">
        <f>+R133</f>
        <v/>
      </c>
    </row>
    <row r="35">
      <c r="D35" s="41" t="inlineStr">
        <is>
          <t>EBT (Attributable to LBO Perimeter)</t>
        </is>
      </c>
      <c r="J35" s="42">
        <f>+J33+J34</f>
        <v/>
      </c>
      <c r="K35" s="42">
        <f>+K33+K34</f>
        <v/>
      </c>
      <c r="L35" s="42">
        <f>+L33+L34</f>
        <v/>
      </c>
      <c r="M35" s="42">
        <f>+M33+M34</f>
        <v/>
      </c>
      <c r="N35" s="42">
        <f>+N33+N34</f>
        <v/>
      </c>
      <c r="O35" s="42">
        <f>+O33+O34</f>
        <v/>
      </c>
      <c r="P35" s="42">
        <f>+P33+P34</f>
        <v/>
      </c>
      <c r="Q35" s="42">
        <f>+Q33+Q34</f>
        <v/>
      </c>
      <c r="R35" s="42">
        <f>+R33+R34</f>
        <v/>
      </c>
      <c r="U35" s="31">
        <f>+IFERROR((M35/J35)^(1/(M$20-J$20))-1,0)</f>
        <v/>
      </c>
      <c r="V35" s="31">
        <f>+IFERROR((R35/M35)^(1/(R$20-M$20))-1,"n.a.")</f>
        <v/>
      </c>
    </row>
    <row r="36">
      <c r="D36" s="22" t="inlineStr">
        <is>
          <t>Tax (Attributable to LBO Perimeter)</t>
        </is>
      </c>
      <c r="F36" s="43" t="n">
        <v>0.224</v>
      </c>
      <c r="J36" s="34" t="n">
        <v>-779.2</v>
      </c>
      <c r="K36" s="34" t="n">
        <v>-949.1</v>
      </c>
      <c r="L36" s="34" t="n">
        <v>-1093.9</v>
      </c>
      <c r="M36" s="34" t="n">
        <v>-1158.2</v>
      </c>
      <c r="N36" s="35">
        <f>+IF(N33+MAX(N34,-$K$174*N26)&gt;0,-(N33+MAX(N34,-$K$174*N26))*$F$36,0)</f>
        <v/>
      </c>
      <c r="O36" s="35">
        <f>+IF(O33+MAX(O34,-$K$174*O26)&gt;0,-(O33+MAX(O34,-$K$174*O26))*$F$36,0)</f>
        <v/>
      </c>
      <c r="P36" s="35">
        <f>+IF(P33+MAX(P34,-$K$174*P26)&gt;0,-(P33+MAX(P34,-$K$174*P26))*$F$36,0)</f>
        <v/>
      </c>
      <c r="Q36" s="35">
        <f>+IF(Q33+MAX(Q34,-$K$174*Q26)&gt;0,-(Q33+MAX(Q34,-$K$174*Q26))*$F$36,0)</f>
        <v/>
      </c>
      <c r="R36" s="35">
        <f>+IF(R33+MAX(R34,-$K$174*R26)&gt;0,-(R33+MAX(R34,-$K$174*R26))*$F$36,0)</f>
        <v/>
      </c>
      <c r="U36" s="31">
        <f>+IFERROR((M36/J36)^(1/(M$20-J$20))-1,0)</f>
        <v/>
      </c>
      <c r="V36" s="31">
        <f>+IFERROR((R36/M36)^(1/(R$20-M$20))-1,"n.a.")</f>
        <v/>
      </c>
    </row>
    <row r="37">
      <c r="D37" s="36" t="inlineStr">
        <is>
          <t>Net income (Attributable to LBO Perimeter)</t>
        </is>
      </c>
      <c r="E37" s="36" t="n"/>
      <c r="F37" s="36" t="n"/>
      <c r="G37" s="36" t="n"/>
      <c r="H37" s="36" t="n"/>
      <c r="I37" s="36" t="n"/>
      <c r="J37" s="37">
        <f>+J35+J36</f>
        <v/>
      </c>
      <c r="K37" s="37">
        <f>+K35+K36</f>
        <v/>
      </c>
      <c r="L37" s="37">
        <f>+L35+L36</f>
        <v/>
      </c>
      <c r="M37" s="37">
        <f>+M35+M36</f>
        <v/>
      </c>
      <c r="N37" s="37">
        <f>+N35+N36</f>
        <v/>
      </c>
      <c r="O37" s="37">
        <f>+O35+O36</f>
        <v/>
      </c>
      <c r="P37" s="37">
        <f>+P35+P36</f>
        <v/>
      </c>
      <c r="Q37" s="37">
        <f>+Q35+Q36</f>
        <v/>
      </c>
      <c r="R37" s="37">
        <f>+R35+R36</f>
        <v/>
      </c>
      <c r="S37" s="36" t="n"/>
      <c r="T37" s="36" t="n"/>
      <c r="U37" s="38">
        <f>+IFERROR((M37/J37)^(1/(M$20-J$20))-1,0)</f>
        <v/>
      </c>
      <c r="V37" s="38">
        <f>+IFERROR((R37/M37)^(1/(R$20-M$20))-1,"n.a.")</f>
        <v/>
      </c>
    </row>
    <row r="40" ht="13.5" customHeight="1">
      <c r="B40" s="12" t="inlineStr">
        <is>
          <t>&gt;</t>
        </is>
      </c>
      <c r="C40" s="14" t="inlineStr">
        <is>
          <t>BS</t>
        </is>
      </c>
      <c r="D40" s="14" t="n"/>
      <c r="E40" s="14" t="n"/>
      <c r="F40" s="14" t="n"/>
      <c r="G40" s="14" t="n"/>
      <c r="H40" s="14" t="n"/>
      <c r="I40" s="14" t="n"/>
      <c r="J40" s="15" t="inlineStr">
        <is>
          <t>31-Jan</t>
        </is>
      </c>
      <c r="K40" s="15" t="inlineStr">
        <is>
          <t>31-Jan</t>
        </is>
      </c>
      <c r="L40" s="15" t="inlineStr">
        <is>
          <t>31-Jan</t>
        </is>
      </c>
      <c r="M40" s="15" t="inlineStr">
        <is>
          <t>31-Jan</t>
        </is>
      </c>
      <c r="N40" s="15" t="inlineStr">
        <is>
          <t>31-Jan</t>
        </is>
      </c>
      <c r="O40" s="15" t="inlineStr">
        <is>
          <t>31-Jan</t>
        </is>
      </c>
      <c r="P40" s="15" t="inlineStr">
        <is>
          <t>31-Jan</t>
        </is>
      </c>
      <c r="Q40" s="15" t="inlineStr">
        <is>
          <t>31-Jan</t>
        </is>
      </c>
      <c r="R40" s="15" t="inlineStr">
        <is>
          <t>31-Jan</t>
        </is>
      </c>
      <c r="S40" s="14" t="n"/>
      <c r="T40" s="14" t="n"/>
      <c r="U40" s="14" t="n"/>
      <c r="V40" s="14" t="n"/>
    </row>
    <row r="41" ht="13.5" customHeight="1">
      <c r="C41" s="14" t="inlineStr">
        <is>
          <t>€m</t>
        </is>
      </c>
      <c r="D41" s="14" t="n"/>
      <c r="E41" s="14" t="n"/>
      <c r="F41" s="14" t="n"/>
      <c r="G41" s="14" t="n"/>
      <c r="H41" s="14" t="n"/>
      <c r="I41" s="14" t="n"/>
      <c r="J41" s="16">
        <f>+J20</f>
        <v/>
      </c>
      <c r="K41" s="16">
        <f>+J41+1</f>
        <v/>
      </c>
      <c r="L41" s="16">
        <f>+K41+1</f>
        <v/>
      </c>
      <c r="M41" s="16">
        <f>+L41+1</f>
        <v/>
      </c>
      <c r="N41" s="17">
        <f>+M41+1</f>
        <v/>
      </c>
      <c r="O41" s="17">
        <f>+N41+1</f>
        <v/>
      </c>
      <c r="P41" s="17">
        <f>+O41+1</f>
        <v/>
      </c>
      <c r="Q41" s="17">
        <f>+P41+1</f>
        <v/>
      </c>
      <c r="R41" s="17">
        <f>+Q41+1</f>
        <v/>
      </c>
      <c r="S41" s="14" t="n"/>
      <c r="T41" s="14" t="n"/>
      <c r="U41" s="14" t="n"/>
      <c r="V41" s="14" t="n"/>
    </row>
    <row r="43">
      <c r="B43" s="9" t="n">
        <v>3</v>
      </c>
      <c r="C43" s="12" t="inlineStr">
        <is>
          <t>&gt;</t>
        </is>
      </c>
      <c r="D43" s="41" t="inlineStr">
        <is>
          <t>WK (Operating Working Capital — 100% Inditex)</t>
        </is>
      </c>
    </row>
    <row r="44">
      <c r="D44" s="22" t="inlineStr">
        <is>
          <t>Inventory</t>
        </is>
      </c>
      <c r="J44" s="34" t="n">
        <v>3191</v>
      </c>
      <c r="K44" s="34" t="n">
        <v>2966</v>
      </c>
      <c r="L44" s="34" t="n">
        <v>3321</v>
      </c>
      <c r="M44" s="34" t="n">
        <v>3249</v>
      </c>
      <c r="N44" s="35">
        <f>+N$21*N15</f>
        <v/>
      </c>
      <c r="O44" s="35">
        <f>+O$21*O15</f>
        <v/>
      </c>
      <c r="P44" s="35">
        <f>+P$21*P15</f>
        <v/>
      </c>
      <c r="Q44" s="35">
        <f>+Q$21*Q15</f>
        <v/>
      </c>
      <c r="R44" s="35">
        <f>+R$21*R15</f>
        <v/>
      </c>
    </row>
    <row r="45">
      <c r="D45" s="22" t="inlineStr">
        <is>
          <t>Receivables</t>
        </is>
      </c>
      <c r="J45" s="34" t="n">
        <v>851</v>
      </c>
      <c r="K45" s="34" t="n">
        <v>1038</v>
      </c>
      <c r="L45" s="34" t="n">
        <v>1088</v>
      </c>
      <c r="M45" s="34" t="n">
        <v>1166</v>
      </c>
      <c r="N45" s="35">
        <f>+N$21*N16</f>
        <v/>
      </c>
      <c r="O45" s="35">
        <f>+O$21*O16</f>
        <v/>
      </c>
      <c r="P45" s="35">
        <f>+P$21*P16</f>
        <v/>
      </c>
      <c r="Q45" s="35">
        <f>+Q$21*Q16</f>
        <v/>
      </c>
      <c r="R45" s="35">
        <f>+R$21*R16</f>
        <v/>
      </c>
    </row>
    <row r="46">
      <c r="D46" s="22" t="inlineStr">
        <is>
          <t>Payables</t>
        </is>
      </c>
      <c r="J46" s="34" t="n">
        <v>-6561</v>
      </c>
      <c r="K46" s="34" t="n">
        <v>-7467</v>
      </c>
      <c r="L46" s="34" t="n">
        <v>-8590</v>
      </c>
      <c r="M46" s="34" t="n">
        <v>-8587</v>
      </c>
      <c r="N46" s="35">
        <f>+N$21*N17</f>
        <v/>
      </c>
      <c r="O46" s="35">
        <f>+O$21*O17</f>
        <v/>
      </c>
      <c r="P46" s="35">
        <f>+P$21*P17</f>
        <v/>
      </c>
      <c r="Q46" s="35">
        <f>+Q$21*Q17</f>
        <v/>
      </c>
      <c r="R46" s="35">
        <f>+R$21*R17</f>
        <v/>
      </c>
    </row>
    <row r="47">
      <c r="D47" s="18" t="inlineStr">
        <is>
          <t>Total WK (EoP balance — 100% Inditex)</t>
        </is>
      </c>
      <c r="E47" s="18" t="n"/>
      <c r="F47" s="18" t="n"/>
      <c r="G47" s="18" t="n"/>
      <c r="H47" s="18" t="n"/>
      <c r="I47" s="18" t="n"/>
      <c r="J47" s="28">
        <f>+SUM(J44:J46)</f>
        <v/>
      </c>
      <c r="K47" s="28">
        <f>+SUM(K44:K46)</f>
        <v/>
      </c>
      <c r="L47" s="28">
        <f>+SUM(L44:L46)</f>
        <v/>
      </c>
      <c r="M47" s="28">
        <f>+SUM(M44:M46)</f>
        <v/>
      </c>
      <c r="N47" s="28">
        <f>+SUM(N44:N46)</f>
        <v/>
      </c>
      <c r="O47" s="28">
        <f>+SUM(O44:O46)</f>
        <v/>
      </c>
      <c r="P47" s="28">
        <f>+SUM(P44:P46)</f>
        <v/>
      </c>
      <c r="Q47" s="28">
        <f>+SUM(Q44:Q46)</f>
        <v/>
      </c>
      <c r="R47" s="28">
        <f>+SUM(R44:R46)</f>
        <v/>
      </c>
    </row>
    <row r="48">
      <c r="D48" s="32" t="inlineStr">
        <is>
          <t>WK % of revenues</t>
        </is>
      </c>
      <c r="J48" s="33">
        <f>+IFERROR(J47/J$21,0)</f>
        <v/>
      </c>
      <c r="K48" s="33">
        <f>+IFERROR(K47/K$21,0)</f>
        <v/>
      </c>
      <c r="L48" s="33">
        <f>+IFERROR(L47/L$21,0)</f>
        <v/>
      </c>
      <c r="M48" s="33">
        <f>+IFERROR(M47/M$21,0)</f>
        <v/>
      </c>
      <c r="N48" s="33">
        <f>+IFERROR(N47/N$21,0)</f>
        <v/>
      </c>
      <c r="O48" s="33">
        <f>+IFERROR(O47/O$21,0)</f>
        <v/>
      </c>
      <c r="P48" s="33">
        <f>+IFERROR(P47/P$21,0)</f>
        <v/>
      </c>
      <c r="Q48" s="33">
        <f>+IFERROR(Q47/Q$21,0)</f>
        <v/>
      </c>
      <c r="R48" s="33">
        <f>+IFERROR(R47/R$21,0)</f>
        <v/>
      </c>
    </row>
    <row r="49">
      <c r="D49" s="36" t="inlineStr">
        <is>
          <t>Cash flow from WK (-ΔWK — 100% Inditex)</t>
        </is>
      </c>
      <c r="E49" s="36" t="n"/>
      <c r="F49" s="36" t="n"/>
      <c r="G49" s="36" t="n"/>
      <c r="H49" s="36" t="n"/>
      <c r="I49" s="36" t="n"/>
      <c r="J49" s="44" t="n">
        <v>0</v>
      </c>
      <c r="K49" s="37">
        <f>+(J47-K47)</f>
        <v/>
      </c>
      <c r="L49" s="37">
        <f>+(K47-L47)</f>
        <v/>
      </c>
      <c r="M49" s="37">
        <f>+(L47-M47)</f>
        <v/>
      </c>
      <c r="N49" s="37">
        <f>+(M47-N47)</f>
        <v/>
      </c>
      <c r="O49" s="37">
        <f>+(N47-O47)</f>
        <v/>
      </c>
      <c r="P49" s="37">
        <f>+(O47-P47)</f>
        <v/>
      </c>
      <c r="Q49" s="37">
        <f>+(P47-Q47)</f>
        <v/>
      </c>
      <c r="R49" s="37">
        <f>+(Q47-R47)</f>
        <v/>
      </c>
    </row>
    <row r="52">
      <c r="B52" s="9" t="n">
        <v>4</v>
      </c>
      <c r="C52" s="12" t="inlineStr">
        <is>
          <t>&gt;</t>
        </is>
      </c>
      <c r="D52" s="41" t="inlineStr">
        <is>
          <t>Capex &amp; D&amp;A (Owned PP&amp;E + Intangibles — 100% Inditex)</t>
        </is>
      </c>
    </row>
    <row r="54">
      <c r="D54" s="22" t="inlineStr">
        <is>
          <t>BoP Net Fixed Assets</t>
        </is>
      </c>
      <c r="J54" s="34" t="n">
        <v>8383</v>
      </c>
      <c r="K54" s="35">
        <f>+J57</f>
        <v/>
      </c>
      <c r="L54" s="35">
        <f>+K57</f>
        <v/>
      </c>
      <c r="M54" s="35">
        <f>+L57</f>
        <v/>
      </c>
      <c r="N54" s="35">
        <f>+M57</f>
        <v/>
      </c>
      <c r="O54" s="35">
        <f>+N57</f>
        <v/>
      </c>
      <c r="P54" s="35">
        <f>+O57</f>
        <v/>
      </c>
      <c r="Q54" s="35">
        <f>+P57</f>
        <v/>
      </c>
      <c r="R54" s="35">
        <f>+Q57</f>
        <v/>
      </c>
    </row>
    <row r="55">
      <c r="D55" s="22" t="inlineStr">
        <is>
          <t>Capex</t>
        </is>
      </c>
      <c r="J55" s="30">
        <f>+J58</f>
        <v/>
      </c>
      <c r="K55" s="30">
        <f>+K58</f>
        <v/>
      </c>
      <c r="L55" s="30">
        <f>+L58</f>
        <v/>
      </c>
      <c r="M55" s="30">
        <f>+M58</f>
        <v/>
      </c>
      <c r="N55" s="30">
        <f>+N58</f>
        <v/>
      </c>
      <c r="O55" s="30">
        <f>+O58</f>
        <v/>
      </c>
      <c r="P55" s="30">
        <f>+P58</f>
        <v/>
      </c>
      <c r="Q55" s="30">
        <f>+Q58</f>
        <v/>
      </c>
      <c r="R55" s="30">
        <f>+R58</f>
        <v/>
      </c>
    </row>
    <row r="56">
      <c r="D56" s="22" t="inlineStr">
        <is>
          <t>D&amp;A</t>
        </is>
      </c>
      <c r="J56" s="34" t="n">
        <v>-1417</v>
      </c>
      <c r="K56" s="34" t="n">
        <v>-1558</v>
      </c>
      <c r="L56" s="34" t="n">
        <v>-1638</v>
      </c>
      <c r="M56" s="34" t="n">
        <v>-1674</v>
      </c>
      <c r="N56" s="35">
        <f>+N62+N73</f>
        <v/>
      </c>
      <c r="O56" s="35">
        <f>+O62+O73</f>
        <v/>
      </c>
      <c r="P56" s="35">
        <f>+P62+P73</f>
        <v/>
      </c>
      <c r="Q56" s="35">
        <f>+Q62+Q73</f>
        <v/>
      </c>
      <c r="R56" s="35">
        <f>+R62+R73</f>
        <v/>
      </c>
    </row>
    <row r="57">
      <c r="D57" s="36" t="inlineStr">
        <is>
          <t>EoP Net Fixed Assets</t>
        </is>
      </c>
      <c r="E57" s="36" t="n"/>
      <c r="F57" s="36" t="n"/>
      <c r="G57" s="36" t="n"/>
      <c r="H57" s="36" t="n"/>
      <c r="I57" s="36" t="n"/>
      <c r="J57" s="45" t="n">
        <v>8401</v>
      </c>
      <c r="K57" s="45" t="n">
        <v>9560</v>
      </c>
      <c r="L57" s="45" t="n">
        <v>11416</v>
      </c>
      <c r="M57" s="45" t="n">
        <v>12778</v>
      </c>
      <c r="N57" s="37">
        <f>+N54+N55+N56</f>
        <v/>
      </c>
      <c r="O57" s="37">
        <f>+O54+O55+O56</f>
        <v/>
      </c>
      <c r="P57" s="37">
        <f>+P54+P55+P56</f>
        <v/>
      </c>
      <c r="Q57" s="37">
        <f>+Q54+Q55+Q56</f>
        <v/>
      </c>
      <c r="R57" s="37">
        <f>+R54+R55+R56</f>
        <v/>
      </c>
    </row>
    <row r="58">
      <c r="D58" s="46" t="inlineStr">
        <is>
          <t>Capex (Ordinary + Logistics — 100% Inditex)</t>
        </is>
      </c>
      <c r="E58" s="46" t="n"/>
      <c r="F58" s="46" t="n"/>
      <c r="G58" s="46" t="n"/>
      <c r="H58" s="46" t="n"/>
      <c r="I58" s="46" t="n"/>
      <c r="J58" s="47" t="n">
        <v>1415</v>
      </c>
      <c r="K58" s="47" t="n">
        <v>1872</v>
      </c>
      <c r="L58" s="47" t="n">
        <v>2672</v>
      </c>
      <c r="M58" s="47" t="n">
        <v>2712</v>
      </c>
      <c r="N58" s="48">
        <f>+N21*N14</f>
        <v/>
      </c>
      <c r="O58" s="48">
        <f>+O21*O14</f>
        <v/>
      </c>
      <c r="P58" s="48">
        <f>+P21*P14</f>
        <v/>
      </c>
      <c r="Q58" s="48">
        <f>+Q21*Q14</f>
        <v/>
      </c>
      <c r="R58" s="48">
        <f>+R21*R14</f>
        <v/>
      </c>
    </row>
    <row r="60">
      <c r="D60" s="41" t="inlineStr">
        <is>
          <t>Existing fixed assets D&amp;A</t>
        </is>
      </c>
    </row>
    <row r="61">
      <c r="D61" s="22" t="inlineStr">
        <is>
          <t>BoP existing net assets</t>
        </is>
      </c>
      <c r="N61" s="35">
        <f>+M63</f>
        <v/>
      </c>
      <c r="O61" s="35">
        <f>+N63</f>
        <v/>
      </c>
      <c r="P61" s="35">
        <f>+O63</f>
        <v/>
      </c>
      <c r="Q61" s="35">
        <f>+P63</f>
        <v/>
      </c>
      <c r="R61" s="35">
        <f>+Q63</f>
        <v/>
      </c>
    </row>
    <row r="62">
      <c r="D62" s="22" t="inlineStr">
        <is>
          <t>D&amp;A of existing assets</t>
        </is>
      </c>
      <c r="N62" s="35">
        <f>-MIN(N61,$M$63/$E$65)</f>
        <v/>
      </c>
      <c r="O62" s="35">
        <f>-MIN(O61,$M$63/$E$65)</f>
        <v/>
      </c>
      <c r="P62" s="35">
        <f>-MIN(P61,$M$63/$E$65)</f>
        <v/>
      </c>
      <c r="Q62" s="35">
        <f>-MIN(Q61,$M$63/$E$65)</f>
        <v/>
      </c>
      <c r="R62" s="35">
        <f>-MIN(R61,$M$63/$E$65)</f>
        <v/>
      </c>
    </row>
    <row r="63">
      <c r="D63" s="41" t="inlineStr">
        <is>
          <t>EoP existing net assets</t>
        </is>
      </c>
      <c r="M63" s="42">
        <f>+M57</f>
        <v/>
      </c>
      <c r="N63" s="42">
        <f>+N61+N62</f>
        <v/>
      </c>
      <c r="O63" s="42">
        <f>+O61+O62</f>
        <v/>
      </c>
      <c r="P63" s="42">
        <f>+P61+P62</f>
        <v/>
      </c>
      <c r="Q63" s="42">
        <f>+Q61+Q62</f>
        <v/>
      </c>
      <c r="R63" s="42">
        <f>+R61+R62</f>
        <v/>
      </c>
    </row>
    <row r="65">
      <c r="D65" s="22" t="inlineStr">
        <is>
          <t>Asset lifetime (years)</t>
        </is>
      </c>
      <c r="E65" s="49" t="n">
        <v>10</v>
      </c>
    </row>
    <row r="66">
      <c r="D66" s="22" t="inlineStr">
        <is>
          <t>First period D&amp;A impact</t>
        </is>
      </c>
      <c r="E66" s="43" t="n">
        <v>0.5</v>
      </c>
    </row>
    <row r="67">
      <c r="G67" s="41" t="inlineStr">
        <is>
          <t>Vintage</t>
        </is>
      </c>
      <c r="H67" s="50" t="inlineStr">
        <is>
          <t>Capex (€m)</t>
        </is>
      </c>
    </row>
    <row r="68">
      <c r="G68" s="51">
        <f>+N$20</f>
        <v/>
      </c>
      <c r="H68" s="30">
        <f>+N$58</f>
        <v/>
      </c>
      <c r="N68" s="35">
        <f>-(($H68/$E$65*$E$66))</f>
        <v/>
      </c>
      <c r="O68" s="35">
        <f>-(MIN(SUM($H68,$N68:N68),$H68/$E$65))</f>
        <v/>
      </c>
      <c r="P68" s="35">
        <f>-(MIN(SUM($H68,$N68:O68),$H68/$E$65))</f>
        <v/>
      </c>
      <c r="Q68" s="35">
        <f>-(MIN(SUM($H68,$N68:P68),$H68/$E$65))</f>
        <v/>
      </c>
      <c r="R68" s="35">
        <f>-(MIN(SUM($H68,$N68:Q68),$H68/$E$65))</f>
        <v/>
      </c>
    </row>
    <row r="69">
      <c r="G69" s="51">
        <f>+O$20</f>
        <v/>
      </c>
      <c r="H69" s="30">
        <f>+O$58</f>
        <v/>
      </c>
      <c r="N69" s="35" t="n">
        <v>0</v>
      </c>
      <c r="O69" s="35">
        <f>-(($H69/$E$65*$E$66))</f>
        <v/>
      </c>
      <c r="P69" s="35">
        <f>-(MIN(SUM($H69,$O69:O69),$H69/$E$65))</f>
        <v/>
      </c>
      <c r="Q69" s="35">
        <f>-(MIN(SUM($H69,$O69:P69),$H69/$E$65))</f>
        <v/>
      </c>
      <c r="R69" s="35">
        <f>-(MIN(SUM($H69,$O69:Q69),$H69/$E$65))</f>
        <v/>
      </c>
    </row>
    <row r="70">
      <c r="G70" s="51">
        <f>+P$20</f>
        <v/>
      </c>
      <c r="H70" s="30">
        <f>+P$58</f>
        <v/>
      </c>
      <c r="N70" s="35" t="n">
        <v>0</v>
      </c>
      <c r="O70" s="35" t="n">
        <v>0</v>
      </c>
      <c r="P70" s="35">
        <f>-(($H70/$E$65*$E$66))</f>
        <v/>
      </c>
      <c r="Q70" s="35">
        <f>-(MIN(SUM($H70,$P70:P70),$H70/$E$65))</f>
        <v/>
      </c>
      <c r="R70" s="35">
        <f>-(MIN(SUM($H70,$P70:Q70),$H70/$E$65))</f>
        <v/>
      </c>
    </row>
    <row r="71">
      <c r="G71" s="51">
        <f>+Q$20</f>
        <v/>
      </c>
      <c r="H71" s="30">
        <f>+Q$58</f>
        <v/>
      </c>
      <c r="N71" s="35" t="n">
        <v>0</v>
      </c>
      <c r="O71" s="35" t="n">
        <v>0</v>
      </c>
      <c r="P71" s="35" t="n">
        <v>0</v>
      </c>
      <c r="Q71" s="35">
        <f>-(($H71/$E$65*$E$66))</f>
        <v/>
      </c>
      <c r="R71" s="35">
        <f>-(MIN(SUM($H71,$Q71:Q71),$H71/$E$65))</f>
        <v/>
      </c>
    </row>
    <row r="72">
      <c r="G72" s="51">
        <f>+R$20</f>
        <v/>
      </c>
      <c r="H72" s="30">
        <f>+R$58</f>
        <v/>
      </c>
      <c r="N72" s="35" t="n">
        <v>0</v>
      </c>
      <c r="O72" s="35" t="n">
        <v>0</v>
      </c>
      <c r="P72" s="35" t="n">
        <v>0</v>
      </c>
      <c r="Q72" s="35" t="n">
        <v>0</v>
      </c>
      <c r="R72" s="35">
        <f>-(($H72/$E$65*$E$66))</f>
        <v/>
      </c>
    </row>
    <row r="73">
      <c r="G73" s="18" t="inlineStr">
        <is>
          <t>Total new capex D&amp;A</t>
        </is>
      </c>
      <c r="H73" s="18" t="n"/>
      <c r="I73" s="18" t="n"/>
      <c r="J73" s="18" t="n"/>
      <c r="K73" s="18" t="n"/>
      <c r="L73" s="18" t="n"/>
      <c r="M73" s="18" t="n"/>
      <c r="N73" s="28">
        <f>SUM(N68:N72)</f>
        <v/>
      </c>
      <c r="O73" s="28">
        <f>SUM(O68:O72)</f>
        <v/>
      </c>
      <c r="P73" s="28">
        <f>SUM(P68:P72)</f>
        <v/>
      </c>
      <c r="Q73" s="28">
        <f>SUM(Q68:Q72)</f>
        <v/>
      </c>
      <c r="R73" s="28">
        <f>SUM(R68:R72)</f>
        <v/>
      </c>
    </row>
    <row r="76">
      <c r="B76" s="9" t="n">
        <v>5</v>
      </c>
      <c r="C76" s="12" t="inlineStr">
        <is>
          <t>&gt;</t>
        </is>
      </c>
      <c r="D76" s="14" t="inlineStr">
        <is>
          <t>Debt Schedule (Senior TLA, Senior TLB, Subordinated Debt, Ortega Vendor Loan &amp; RCF)</t>
        </is>
      </c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</row>
    <row r="78">
      <c r="D78" s="41" t="inlineStr">
        <is>
          <t>1A. Senior Term Loan A (TLA — Amortising)</t>
        </is>
      </c>
    </row>
    <row r="79">
      <c r="D79" s="22" t="inlineStr">
        <is>
          <t>BoP TLA</t>
        </is>
      </c>
      <c r="M79" s="52" t="n">
        <v>0</v>
      </c>
      <c r="N79" s="35">
        <f>+M82</f>
        <v/>
      </c>
      <c r="O79" s="35">
        <f>+N82</f>
        <v/>
      </c>
      <c r="P79" s="35">
        <f>+O82</f>
        <v/>
      </c>
      <c r="Q79" s="35">
        <f>+P82</f>
        <v/>
      </c>
      <c r="R79" s="35">
        <f>+Q82</f>
        <v/>
      </c>
    </row>
    <row r="80">
      <c r="D80" s="22" t="inlineStr">
        <is>
          <t>Initial draw / increase</t>
        </is>
      </c>
      <c r="M80" s="30">
        <f>+E190</f>
        <v/>
      </c>
      <c r="N80" s="35" t="n">
        <v>0</v>
      </c>
      <c r="O80" s="35" t="n">
        <v>0</v>
      </c>
      <c r="P80" s="35" t="n">
        <v>0</v>
      </c>
      <c r="Q80" s="35" t="n">
        <v>0</v>
      </c>
      <c r="R80" s="35" t="n">
        <v>0</v>
      </c>
    </row>
    <row r="81">
      <c r="D81" s="22" t="inlineStr">
        <is>
          <t>Scheduled repayment</t>
        </is>
      </c>
      <c r="M81" s="52" t="n">
        <v>0</v>
      </c>
      <c r="N81" s="35">
        <f>-MIN(N79,$M$82*N$83)</f>
        <v/>
      </c>
      <c r="O81" s="35">
        <f>-MIN(O79,$M$82*O$83)</f>
        <v/>
      </c>
      <c r="P81" s="35">
        <f>-MIN(P79,$M$82*P$83)</f>
        <v/>
      </c>
      <c r="Q81" s="35">
        <f>-MIN(Q79,$M$82*Q$83)</f>
        <v/>
      </c>
      <c r="R81" s="35">
        <f>-MIN(R79,$M$82*R$83)</f>
        <v/>
      </c>
      <c r="T81" s="40">
        <f>+SUM(N81:R81)+M82</f>
        <v/>
      </c>
    </row>
    <row r="82">
      <c r="D82" s="18" t="inlineStr">
        <is>
          <t>EoP TLA</t>
        </is>
      </c>
      <c r="E82" s="18" t="n"/>
      <c r="F82" s="18" t="n"/>
      <c r="G82" s="18" t="n"/>
      <c r="H82" s="18" t="n"/>
      <c r="I82" s="18" t="n"/>
      <c r="J82" s="18" t="n"/>
      <c r="K82" s="18" t="n"/>
      <c r="L82" s="18" t="n"/>
      <c r="M82" s="28">
        <f>+SUM(M79:M81)</f>
        <v/>
      </c>
      <c r="N82" s="28">
        <f>+SUM(N79:N81)</f>
        <v/>
      </c>
      <c r="O82" s="28">
        <f>+SUM(O79:O81)</f>
        <v/>
      </c>
      <c r="P82" s="28">
        <f>+SUM(P79:P81)</f>
        <v/>
      </c>
      <c r="Q82" s="28">
        <f>+SUM(Q79:Q81)</f>
        <v/>
      </c>
      <c r="R82" s="28">
        <f>+SUM(R79:R81)</f>
        <v/>
      </c>
    </row>
    <row r="83">
      <c r="D83" s="32" t="inlineStr">
        <is>
          <t>TLA scheduled amortisation %</t>
        </is>
      </c>
      <c r="N83" s="53" t="n">
        <v>0</v>
      </c>
      <c r="O83" s="53" t="n">
        <v>0.1</v>
      </c>
      <c r="P83" s="53" t="n">
        <v>0.15</v>
      </c>
      <c r="Q83" s="53" t="n">
        <v>0.2</v>
      </c>
      <c r="R83" s="54" t="n">
        <v>0.25</v>
      </c>
      <c r="T83" s="33">
        <f>+SUM(N83:R83)-1</f>
        <v/>
      </c>
    </row>
    <row r="84">
      <c r="D84" s="22" t="inlineStr">
        <is>
          <t>TLA cash interest</t>
        </is>
      </c>
      <c r="N84" s="35">
        <f>-$F$178*AVERAGE(N79,N82)</f>
        <v/>
      </c>
      <c r="O84" s="35">
        <f>-$F$178*AVERAGE(O79,O82)</f>
        <v/>
      </c>
      <c r="P84" s="35">
        <f>-$F$178*AVERAGE(P79,P82)</f>
        <v/>
      </c>
      <c r="Q84" s="35">
        <f>-$F$178*AVERAGE(Q79,Q82)</f>
        <v/>
      </c>
      <c r="R84" s="35">
        <f>-$F$178*AVERAGE(R79,R82)</f>
        <v/>
      </c>
    </row>
    <row r="86">
      <c r="D86" s="41" t="inlineStr">
        <is>
          <t>1B. Senior Term Loan B (TLB — Bullet / Optional Cash Sweep)</t>
        </is>
      </c>
    </row>
    <row r="87">
      <c r="D87" s="22" t="inlineStr">
        <is>
          <t>BoP TLB</t>
        </is>
      </c>
      <c r="M87" s="52" t="n">
        <v>0</v>
      </c>
      <c r="N87" s="35">
        <f>+M92</f>
        <v/>
      </c>
      <c r="O87" s="35">
        <f>+N92</f>
        <v/>
      </c>
      <c r="P87" s="35">
        <f>+O92</f>
        <v/>
      </c>
      <c r="Q87" s="35">
        <f>+P92</f>
        <v/>
      </c>
      <c r="R87" s="35">
        <f>+Q92</f>
        <v/>
      </c>
    </row>
    <row r="88">
      <c r="D88" s="22" t="inlineStr">
        <is>
          <t>Initial draw / increase</t>
        </is>
      </c>
      <c r="M88" s="30">
        <f>+E191</f>
        <v/>
      </c>
      <c r="N88" s="35">
        <f>IF(AND(Palancas_calc!$C$53=1,N$8=Palancas!$D$62),MAX(0,Palancas!$D$61*M29-(M82+M92+M117-M157)),0)</f>
        <v/>
      </c>
      <c r="O88" s="35">
        <f>IF(AND(Palancas_calc!$C$53=1,O$8=Palancas!$D$62),MAX(0,Palancas!$D$61*N29-(N82+N92+N117-N157)),0)</f>
        <v/>
      </c>
      <c r="P88" s="35">
        <f>IF(AND(Palancas_calc!$C$53=1,P$8=Palancas!$D$62),MAX(0,Palancas!$D$61*O29-(O82+O92+O117-O157)),0)</f>
        <v/>
      </c>
      <c r="Q88" s="35">
        <f>IF(AND(Palancas_calc!$C$53=1,Q$8=Palancas!$D$62),MAX(0,Palancas!$D$61*P29-(P82+P92+P117-P157)),0)</f>
        <v/>
      </c>
      <c r="R88" s="35">
        <f>IF(AND(Palancas_calc!$C$53=1,R$8=Palancas!$D$62),MAX(0,Palancas!$D$61*Q29-(Q82+Q92+Q117-Q157)),0)</f>
        <v/>
      </c>
    </row>
    <row r="89">
      <c r="D89" s="22" t="inlineStr">
        <is>
          <t>Mandatory amortisation (% in F182)</t>
        </is>
      </c>
      <c r="M89" s="52" t="n">
        <v>0</v>
      </c>
      <c r="N89" s="35">
        <f>-MIN(N87,$M$92*N$93)</f>
        <v/>
      </c>
      <c r="O89" s="35">
        <f>-MIN(O87,$M$92*O$93)</f>
        <v/>
      </c>
      <c r="P89" s="35">
        <f>-MIN(P87,$M$92*P$93)</f>
        <v/>
      </c>
      <c r="Q89" s="35">
        <f>-MIN(Q87,$M$92*Q$93)</f>
        <v/>
      </c>
      <c r="R89" s="35">
        <f>-MIN(R87,$M$92*R$93)</f>
        <v/>
      </c>
    </row>
    <row r="90">
      <c r="D90" s="32" t="inlineStr">
        <is>
          <t>TLB balance before optional cash sweep</t>
        </is>
      </c>
      <c r="M90" s="52">
        <f>+M87+M88+M89</f>
        <v/>
      </c>
      <c r="N90" s="40">
        <f>+SUM(N87:N89)</f>
        <v/>
      </c>
      <c r="O90" s="40">
        <f>+SUM(O87:O89)</f>
        <v/>
      </c>
      <c r="P90" s="40">
        <f>+SUM(P87:P89)</f>
        <v/>
      </c>
      <c r="Q90" s="40">
        <f>+SUM(Q87:Q89)</f>
        <v/>
      </c>
      <c r="R90" s="40">
        <f>+SUM(R87:R89)</f>
        <v/>
      </c>
    </row>
    <row r="91">
      <c r="D91" s="22" t="inlineStr">
        <is>
          <t>Optional cash sweep repayment (% in F183)</t>
        </is>
      </c>
      <c r="M91" s="52" t="n">
        <v>0</v>
      </c>
      <c r="N91" s="35">
        <f>-MIN(N90,MAX(0,N150+N151)*$F$183)</f>
        <v/>
      </c>
      <c r="O91" s="35">
        <f>-MIN(O90,MAX(0,O150+O151)*$F$183)</f>
        <v/>
      </c>
      <c r="P91" s="35">
        <f>-MIN(P90,MAX(0,P150+P151)*$F$183)</f>
        <v/>
      </c>
      <c r="Q91" s="35">
        <f>-MIN(Q90,MAX(0,Q150+Q151)*$F$183)</f>
        <v/>
      </c>
      <c r="R91" s="35">
        <f>-MIN(R90,MAX(0,R150+R151)*$F$183)</f>
        <v/>
      </c>
    </row>
    <row r="92">
      <c r="D92" s="18" t="inlineStr">
        <is>
          <t>EoP TLB</t>
        </is>
      </c>
      <c r="E92" s="18" t="n"/>
      <c r="F92" s="18" t="n"/>
      <c r="G92" s="18" t="n"/>
      <c r="H92" s="18" t="n"/>
      <c r="I92" s="18" t="n"/>
      <c r="J92" s="18" t="n"/>
      <c r="K92" s="18" t="n"/>
      <c r="L92" s="18" t="n"/>
      <c r="M92" s="28">
        <f>+M90+M91</f>
        <v/>
      </c>
      <c r="N92" s="28">
        <f>+N90+N91</f>
        <v/>
      </c>
      <c r="O92" s="28">
        <f>+O90+O91</f>
        <v/>
      </c>
      <c r="P92" s="28">
        <f>+P90+P91</f>
        <v/>
      </c>
      <c r="Q92" s="28">
        <f>+Q90+Q91</f>
        <v/>
      </c>
      <c r="R92" s="28">
        <f>+R90+R91</f>
        <v/>
      </c>
    </row>
    <row r="93">
      <c r="D93" s="32" t="inlineStr">
        <is>
          <t>TLB mandatory amortisation %</t>
        </is>
      </c>
      <c r="N93" s="55">
        <f>+$F$182</f>
        <v/>
      </c>
      <c r="O93" s="55">
        <f>+$F$182</f>
        <v/>
      </c>
      <c r="P93" s="55">
        <f>+$F$182</f>
        <v/>
      </c>
      <c r="Q93" s="55">
        <f>+$F$182</f>
        <v/>
      </c>
      <c r="R93" s="55">
        <f>+$F$182</f>
        <v/>
      </c>
    </row>
    <row r="94">
      <c r="D94" s="22" t="inlineStr">
        <is>
          <t>TLB cash interest</t>
        </is>
      </c>
      <c r="N94" s="35">
        <f>-$F$179*AVERAGE(N87,N90)</f>
        <v/>
      </c>
      <c r="O94" s="35">
        <f>-$F$179*AVERAGE(O87,O90)</f>
        <v/>
      </c>
      <c r="P94" s="35">
        <f>-$F$179*AVERAGE(P87,P90)</f>
        <v/>
      </c>
      <c r="Q94" s="35">
        <f>-$F$179*AVERAGE(Q87,Q90)</f>
        <v/>
      </c>
      <c r="R94" s="35">
        <f>-$F$179*AVERAGE(R87,R90)</f>
        <v/>
      </c>
    </row>
    <row r="96">
      <c r="D96" s="41" t="inlineStr">
        <is>
          <t>2. Subordinated / Mezzanine Debt (Bullet — Cash or PIK Switch)</t>
        </is>
      </c>
    </row>
    <row r="97">
      <c r="D97" s="22" t="inlineStr">
        <is>
          <t>BoP Subordinated debt</t>
        </is>
      </c>
      <c r="M97" s="52" t="n">
        <v>0</v>
      </c>
      <c r="N97" s="35">
        <f>+M101</f>
        <v/>
      </c>
      <c r="O97" s="35">
        <f>+N101</f>
        <v/>
      </c>
      <c r="P97" s="35">
        <f>+O101</f>
        <v/>
      </c>
      <c r="Q97" s="35">
        <f>+P101</f>
        <v/>
      </c>
      <c r="R97" s="35">
        <f>+Q101</f>
        <v/>
      </c>
    </row>
    <row r="98">
      <c r="D98" s="22" t="inlineStr">
        <is>
          <t>Initial draw / increase</t>
        </is>
      </c>
      <c r="M98" s="30">
        <f>+E192</f>
        <v/>
      </c>
      <c r="N98" s="35" t="n">
        <v>0</v>
      </c>
      <c r="O98" s="35" t="n">
        <v>0</v>
      </c>
      <c r="P98" s="35" t="n">
        <v>0</v>
      </c>
      <c r="Q98" s="35" t="n">
        <v>0</v>
      </c>
      <c r="R98" s="35" t="n">
        <v>0</v>
      </c>
    </row>
    <row r="99">
      <c r="D99" s="22" t="inlineStr">
        <is>
          <t>PIK interest capitalised (if I180 = 1)</t>
        </is>
      </c>
      <c r="M99" s="52" t="n">
        <v>0</v>
      </c>
      <c r="N99" s="35">
        <f>+IF($I$180=1,N97*$F$180,0)</f>
        <v/>
      </c>
      <c r="O99" s="35">
        <f>+IF($I$180=1,O97*$F$180,0)</f>
        <v/>
      </c>
      <c r="P99" s="35">
        <f>+IF($I$180=1,P97*$F$180,0)</f>
        <v/>
      </c>
      <c r="Q99" s="35">
        <f>+IF($I$180=1,Q97*$F$180,0)</f>
        <v/>
      </c>
      <c r="R99" s="35">
        <f>+IF($I$180=1,R97*$F$180,0)</f>
        <v/>
      </c>
    </row>
    <row r="100">
      <c r="D100" s="22" t="inlineStr">
        <is>
          <t>Scheduled repayment (Bullet at maturity)</t>
        </is>
      </c>
      <c r="M100" s="52" t="n">
        <v>0</v>
      </c>
      <c r="N100" s="35" t="n">
        <v>0</v>
      </c>
      <c r="O100" s="35" t="n">
        <v>0</v>
      </c>
      <c r="P100" s="35" t="n">
        <v>0</v>
      </c>
      <c r="Q100" s="35" t="n">
        <v>0</v>
      </c>
      <c r="R100" s="35" t="n">
        <v>0</v>
      </c>
    </row>
    <row r="101">
      <c r="D101" s="18" t="inlineStr">
        <is>
          <t>EoP Subordinated debt</t>
        </is>
      </c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28">
        <f>+SUM(M97:M100)</f>
        <v/>
      </c>
      <c r="N101" s="28">
        <f>+SUM(N97:N100)</f>
        <v/>
      </c>
      <c r="O101" s="28">
        <f>+SUM(O97:O100)</f>
        <v/>
      </c>
      <c r="P101" s="28">
        <f>+SUM(P97:P100)</f>
        <v/>
      </c>
      <c r="Q101" s="28">
        <f>+SUM(Q97:Q100)</f>
        <v/>
      </c>
      <c r="R101" s="28">
        <f>+SUM(R97:R100)</f>
        <v/>
      </c>
    </row>
    <row r="102">
      <c r="D102" s="22" t="inlineStr">
        <is>
          <t>Subordinated cash interest (if I180 = 0)</t>
        </is>
      </c>
      <c r="N102" s="35">
        <f>+IF($I$180=0,-N97*$F$180,0)</f>
        <v/>
      </c>
      <c r="O102" s="35">
        <f>+IF($I$180=0,-O97*$F$180,0)</f>
        <v/>
      </c>
      <c r="P102" s="35">
        <f>+IF($I$180=0,-P97*$F$180,0)</f>
        <v/>
      </c>
      <c r="Q102" s="35">
        <f>+IF($I$180=0,-Q97*$F$180,0)</f>
        <v/>
      </c>
      <c r="R102" s="35">
        <f>+IF($I$180=0,-R97*$F$180,0)</f>
        <v/>
      </c>
    </row>
    <row r="103">
      <c r="D103" s="32" t="inlineStr">
        <is>
          <t>Subordinated total interest (for P&amp;L tax shield)</t>
        </is>
      </c>
      <c r="N103" s="40">
        <f>-N97*$F$180</f>
        <v/>
      </c>
      <c r="O103" s="40">
        <f>-O97*$F$180</f>
        <v/>
      </c>
      <c r="P103" s="40">
        <f>-P97*$F$180</f>
        <v/>
      </c>
      <c r="Q103" s="40">
        <f>-Q97*$F$180</f>
        <v/>
      </c>
      <c r="R103" s="40">
        <f>-R97*$F$180</f>
        <v/>
      </c>
    </row>
    <row r="105">
      <c r="D105" s="41" t="inlineStr">
        <is>
          <t>3. Ortega Family Vendor Loan (Pontegadea — Cash or PIK Switch)</t>
        </is>
      </c>
    </row>
    <row r="106">
      <c r="D106" s="22" t="inlineStr">
        <is>
          <t>BoP Vendor Loan</t>
        </is>
      </c>
      <c r="M106" s="52" t="n">
        <v>0</v>
      </c>
      <c r="N106" s="35">
        <f>+M110</f>
        <v/>
      </c>
      <c r="O106" s="35">
        <f>+N110</f>
        <v/>
      </c>
      <c r="P106" s="35">
        <f>+O110</f>
        <v/>
      </c>
      <c r="Q106" s="35">
        <f>+P110</f>
        <v/>
      </c>
      <c r="R106" s="35">
        <f>+Q110</f>
        <v/>
      </c>
    </row>
    <row r="107">
      <c r="D107" s="22" t="inlineStr">
        <is>
          <t>Initial draw / increase</t>
        </is>
      </c>
      <c r="M107" s="30">
        <f>+E193</f>
        <v/>
      </c>
      <c r="N107" s="35" t="n">
        <v>0</v>
      </c>
      <c r="O107" s="35" t="n">
        <v>0</v>
      </c>
      <c r="P107" s="35" t="n">
        <v>0</v>
      </c>
      <c r="Q107" s="35" t="n">
        <v>0</v>
      </c>
      <c r="R107" s="35" t="n">
        <v>0</v>
      </c>
    </row>
    <row r="108">
      <c r="D108" s="22" t="inlineStr">
        <is>
          <t>PIK interest capitalised (if I181 = 1)</t>
        </is>
      </c>
      <c r="M108" s="52" t="n">
        <v>0</v>
      </c>
      <c r="N108" s="35">
        <f>+IF($I$181=1,N106*$F$181,0)</f>
        <v/>
      </c>
      <c r="O108" s="35">
        <f>+IF($I$181=1,O106*$F$181,0)</f>
        <v/>
      </c>
      <c r="P108" s="35">
        <f>+IF($I$181=1,P106*$F$181,0)</f>
        <v/>
      </c>
      <c r="Q108" s="35">
        <f>+IF($I$181=1,Q106*$F$181,0)</f>
        <v/>
      </c>
      <c r="R108" s="35">
        <f>+IF($I$181=1,R106*$F$181,0)</f>
        <v/>
      </c>
    </row>
    <row r="109">
      <c r="D109" s="22" t="inlineStr">
        <is>
          <t>Scheduled repayment (Bullet at exit)</t>
        </is>
      </c>
      <c r="M109" s="52" t="n">
        <v>0</v>
      </c>
      <c r="N109" s="35" t="n">
        <v>0</v>
      </c>
      <c r="O109" s="35" t="n">
        <v>0</v>
      </c>
      <c r="P109" s="35" t="n">
        <v>0</v>
      </c>
      <c r="Q109" s="35" t="n">
        <v>0</v>
      </c>
      <c r="R109" s="35" t="n">
        <v>0</v>
      </c>
    </row>
    <row r="110">
      <c r="D110" s="18" t="inlineStr">
        <is>
          <t>EoP Vendor Loan</t>
        </is>
      </c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28">
        <f>+SUM(M106:M109)</f>
        <v/>
      </c>
      <c r="N110" s="28">
        <f>+SUM(N106:N109)</f>
        <v/>
      </c>
      <c r="O110" s="28">
        <f>+SUM(O106:O109)</f>
        <v/>
      </c>
      <c r="P110" s="28">
        <f>+SUM(P106:P109)</f>
        <v/>
      </c>
      <c r="Q110" s="28">
        <f>+SUM(Q106:Q109)</f>
        <v/>
      </c>
      <c r="R110" s="28">
        <f>+SUM(R106:R109)</f>
        <v/>
      </c>
    </row>
    <row r="111">
      <c r="D111" s="22" t="inlineStr">
        <is>
          <t>Vendor Loan cash interest (if I181 = 0)</t>
        </is>
      </c>
      <c r="N111" s="35">
        <f>+IF($I$181=0,-N106*$F$181,0)</f>
        <v/>
      </c>
      <c r="O111" s="35">
        <f>+IF($I$181=0,-O106*$F$181,0)</f>
        <v/>
      </c>
      <c r="P111" s="35">
        <f>+IF($I$181=0,-P106*$F$181,0)</f>
        <v/>
      </c>
      <c r="Q111" s="35">
        <f>+IF($I$181=0,-Q106*$F$181,0)</f>
        <v/>
      </c>
      <c r="R111" s="35">
        <f>+IF($I$181=0,-R106*$F$181,0)</f>
        <v/>
      </c>
    </row>
    <row r="112">
      <c r="D112" s="32" t="inlineStr">
        <is>
          <t>Vendor Loan total interest (for P&amp;L tax shield)</t>
        </is>
      </c>
      <c r="N112" s="40">
        <f>-N106*$F$181</f>
        <v/>
      </c>
      <c r="O112" s="40">
        <f>-O106*$F$181</f>
        <v/>
      </c>
      <c r="P112" s="40">
        <f>-P106*$F$181</f>
        <v/>
      </c>
      <c r="Q112" s="40">
        <f>-Q106*$F$181</f>
        <v/>
      </c>
      <c r="R112" s="40">
        <f>-R106*$F$181</f>
        <v/>
      </c>
    </row>
    <row r="114">
      <c r="D114" s="41" t="inlineStr">
        <is>
          <t>4. Revolving Credit Facility (RCF — Liquidity Line)</t>
        </is>
      </c>
    </row>
    <row r="115">
      <c r="D115" s="22" t="inlineStr">
        <is>
          <t>BoP RCF drawn</t>
        </is>
      </c>
      <c r="M115" s="52" t="n">
        <v>0</v>
      </c>
      <c r="N115" s="35">
        <f>+M117</f>
        <v/>
      </c>
      <c r="O115" s="35">
        <f>+N117</f>
        <v/>
      </c>
      <c r="P115" s="35">
        <f>+O117</f>
        <v/>
      </c>
      <c r="Q115" s="35">
        <f>+P117</f>
        <v/>
      </c>
      <c r="R115" s="35">
        <f>+Q117</f>
        <v/>
      </c>
    </row>
    <row r="116">
      <c r="D116" s="22" t="inlineStr">
        <is>
          <t>RCF draw / (repayment)</t>
        </is>
      </c>
      <c r="M116" s="30">
        <f>+E194</f>
        <v/>
      </c>
      <c r="N116" s="35">
        <f>+IF(N150&lt;0,MIN($F$184-N115,-N150),-MIN(N115,N150))</f>
        <v/>
      </c>
      <c r="O116" s="35">
        <f>+IF(O150&lt;0,MIN($F$184-O115,-O150),-MIN(O115,O150))</f>
        <v/>
      </c>
      <c r="P116" s="35">
        <f>+IF(P150&lt;0,MIN($F$184-P115,-P150),-MIN(P115,P150))</f>
        <v/>
      </c>
      <c r="Q116" s="35">
        <f>+IF(Q150&lt;0,MIN($F$184-Q115,-Q150),-MIN(Q115,Q150))</f>
        <v/>
      </c>
      <c r="R116" s="35">
        <f>+IF(R150&lt;0,MIN($F$184-R115,-R150),-MIN(R115,R150))</f>
        <v/>
      </c>
    </row>
    <row r="117">
      <c r="D117" s="18" t="inlineStr">
        <is>
          <t>EoP RCF drawn</t>
        </is>
      </c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28">
        <f>+M115+M116</f>
        <v/>
      </c>
      <c r="N117" s="28">
        <f>+N115+N116</f>
        <v/>
      </c>
      <c r="O117" s="28">
        <f>+O115+O116</f>
        <v/>
      </c>
      <c r="P117" s="28">
        <f>+P115+P116</f>
        <v/>
      </c>
      <c r="Q117" s="28">
        <f>+Q115+Q116</f>
        <v/>
      </c>
      <c r="R117" s="28">
        <f>+R115+R116</f>
        <v/>
      </c>
    </row>
    <row r="118">
      <c r="D118" s="32" t="inlineStr">
        <is>
          <t>Undrawn RCF available</t>
        </is>
      </c>
      <c r="M118" s="40">
        <f>+$F$184-M117</f>
        <v/>
      </c>
      <c r="N118" s="40">
        <f>+MAX(0,$F$184-N117)</f>
        <v/>
      </c>
      <c r="O118" s="40">
        <f>+MAX(0,$F$184-O117)</f>
        <v/>
      </c>
      <c r="P118" s="40">
        <f>+MAX(0,$F$184-P117)</f>
        <v/>
      </c>
      <c r="Q118" s="40">
        <f>+MAX(0,$F$184-Q117)</f>
        <v/>
      </c>
      <c r="R118" s="40">
        <f>+MAX(0,$F$184-R117)</f>
        <v/>
      </c>
    </row>
    <row r="119">
      <c r="D119" s="22" t="inlineStr">
        <is>
          <t>RCF interest &amp; commitment fee</t>
        </is>
      </c>
      <c r="N119" s="35">
        <f>-(N115*$F$185+MAX(0,$F$184-N115)*$F$186)</f>
        <v/>
      </c>
      <c r="O119" s="35">
        <f>-(O115*$F$185+MAX(0,$F$184-O115)*$F$186)</f>
        <v/>
      </c>
      <c r="P119" s="35">
        <f>-(P115*$F$185+MAX(0,$F$184-P115)*$F$186)</f>
        <v/>
      </c>
      <c r="Q119" s="35">
        <f>-(Q115*$F$185+MAX(0,$F$184-Q115)*$F$186)</f>
        <v/>
      </c>
      <c r="R119" s="35">
        <f>-(R115*$F$185+MAX(0,$F$184-R115)*$F$186)</f>
        <v/>
      </c>
    </row>
    <row r="126">
      <c r="D126" s="41" t="inlineStr">
        <is>
          <t>Total LBO Debt Summary (Attributable Perimeter)</t>
        </is>
      </c>
    </row>
    <row r="127">
      <c r="D127" s="22" t="inlineStr">
        <is>
          <t>BoP total debt (incl. Vendor Loan)</t>
        </is>
      </c>
      <c r="M127" s="52" t="n">
        <v>0</v>
      </c>
      <c r="N127" s="35">
        <f>+N79+N87+N97+N106+N115</f>
        <v/>
      </c>
      <c r="O127" s="35">
        <f>+O79+O87+O97+O106+O115</f>
        <v/>
      </c>
      <c r="P127" s="35">
        <f>+P79+P87+P97+P106+P115</f>
        <v/>
      </c>
      <c r="Q127" s="35">
        <f>+Q79+Q87+Q97+Q106+Q115</f>
        <v/>
      </c>
      <c r="R127" s="35">
        <f>+R79+R87+R97+R106+R115</f>
        <v/>
      </c>
    </row>
    <row r="128">
      <c r="D128" s="22" t="inlineStr">
        <is>
          <t>Mandatory debt service (TLA + TLB)</t>
        </is>
      </c>
      <c r="M128" s="52">
        <f>+M80+M88+M98+M107+M116</f>
        <v/>
      </c>
      <c r="N128" s="35">
        <f>+N81+N89</f>
        <v/>
      </c>
      <c r="O128" s="35">
        <f>+O81+O89</f>
        <v/>
      </c>
      <c r="P128" s="35">
        <f>+P81+P89</f>
        <v/>
      </c>
      <c r="Q128" s="35">
        <f>+Q81+Q89</f>
        <v/>
      </c>
      <c r="R128" s="35">
        <f>+R81+R89</f>
        <v/>
      </c>
    </row>
    <row r="129">
      <c r="D129" s="22" t="inlineStr">
        <is>
          <t>Optional TLB sweep &amp; RCF net change</t>
        </is>
      </c>
      <c r="M129" s="52" t="n">
        <v>0</v>
      </c>
      <c r="N129" s="35">
        <f>+N91+N116</f>
        <v/>
      </c>
      <c r="O129" s="35">
        <f>+O91+O116</f>
        <v/>
      </c>
      <c r="P129" s="35">
        <f>+P91+P116</f>
        <v/>
      </c>
      <c r="Q129" s="35">
        <f>+Q91+Q116</f>
        <v/>
      </c>
      <c r="R129" s="35">
        <f>+R91+R116</f>
        <v/>
      </c>
    </row>
    <row r="130">
      <c r="D130" s="22" t="inlineStr">
        <is>
          <t>PIK interest capitalised (Subordinated + Vendor Loan)</t>
        </is>
      </c>
      <c r="M130" s="52" t="n">
        <v>0</v>
      </c>
      <c r="N130" s="35">
        <f>+N99+N108</f>
        <v/>
      </c>
      <c r="O130" s="35">
        <f>+O99+O108</f>
        <v/>
      </c>
      <c r="P130" s="35">
        <f>+P99+P108</f>
        <v/>
      </c>
      <c r="Q130" s="35">
        <f>+Q99+Q108</f>
        <v/>
      </c>
      <c r="R130" s="35">
        <f>+R99+R108</f>
        <v/>
      </c>
    </row>
    <row r="131">
      <c r="D131" s="36" t="inlineStr">
        <is>
          <t>EoP total financial debt (incl. Vendor Loan)</t>
        </is>
      </c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7">
        <f>+M82+M92+M101+M110+M117</f>
        <v/>
      </c>
      <c r="N131" s="37">
        <f>+N82+N92+N101+N110+N117</f>
        <v/>
      </c>
      <c r="O131" s="37">
        <f>+O82+O92+O101+O110+O117</f>
        <v/>
      </c>
      <c r="P131" s="37">
        <f>+P82+P92+P101+P110+P117</f>
        <v/>
      </c>
      <c r="Q131" s="37">
        <f>+Q82+Q92+Q101+Q110+Q117</f>
        <v/>
      </c>
      <c r="R131" s="37">
        <f>+R82+R92+R101+R110+R117</f>
        <v/>
      </c>
    </row>
    <row r="132">
      <c r="D132" s="41" t="inlineStr">
        <is>
          <t>Total cash interest &amp; commitment fees (CF outflow)</t>
        </is>
      </c>
      <c r="N132" s="42">
        <f>+N84+N94+N102+N111+N119</f>
        <v/>
      </c>
      <c r="O132" s="42">
        <f>+O84+O94+O102+O111+O119</f>
        <v/>
      </c>
      <c r="P132" s="42">
        <f>+P84+P94+P102+P111+P119</f>
        <v/>
      </c>
      <c r="Q132" s="42">
        <f>+Q84+Q94+Q102+Q111+Q119</f>
        <v/>
      </c>
      <c r="R132" s="42">
        <f>+R84+R94+R102+R111+R119</f>
        <v/>
      </c>
    </row>
    <row r="133">
      <c r="D133" s="32" t="inlineStr">
        <is>
          <t>Total P&amp;L interest expense (Cash + PIK)</t>
        </is>
      </c>
      <c r="N133" s="40">
        <f>+N84+N94+N103+N112+N119</f>
        <v/>
      </c>
      <c r="O133" s="40">
        <f>+O84+O94+O103+O112+O119</f>
        <v/>
      </c>
      <c r="P133" s="40">
        <f>+P84+P94+P103+P112+P119</f>
        <v/>
      </c>
      <c r="Q133" s="40">
        <f>+Q84+Q94+Q103+Q112+Q119</f>
        <v/>
      </c>
      <c r="R133" s="40">
        <f>+R84+R94+R103+R112+R119</f>
        <v/>
      </c>
    </row>
    <row r="134">
      <c r="D134" s="32" t="inlineStr">
        <is>
          <t>Senior Net Debt / Attributable EBITDA (x)</t>
        </is>
      </c>
      <c r="M134" s="56">
        <f>+(M82+M92+M117-M157)/(M29*$F$168)</f>
        <v/>
      </c>
      <c r="N134" s="56">
        <f>+(N82+N92+N117-N157)/(N29*$F$168)</f>
        <v/>
      </c>
      <c r="O134" s="56">
        <f>+(O82+O92+O117-O157)/(O29*$F$168)</f>
        <v/>
      </c>
      <c r="P134" s="56">
        <f>+(P82+P92+P117-P157)/(P29*$F$168)</f>
        <v/>
      </c>
      <c r="Q134" s="56">
        <f>+(Q82+Q92+Q117-Q157)/(Q29*$F$168)</f>
        <v/>
      </c>
      <c r="R134" s="56">
        <f>+(R82+R92+R117-R157)/(R29*$F$168)</f>
        <v/>
      </c>
    </row>
    <row r="135">
      <c r="D135" s="32" t="inlineStr">
        <is>
          <t>Total Net Debt / Attributable EBITDA (x)</t>
        </is>
      </c>
      <c r="M135" s="56">
        <f>+(M131-M157)/(M29*$F$168)</f>
        <v/>
      </c>
      <c r="N135" s="56">
        <f>+(N131-N157)/(N29*$F$168)</f>
        <v/>
      </c>
      <c r="O135" s="56">
        <f>+(O131-O157)/(O29*$F$168)</f>
        <v/>
      </c>
      <c r="P135" s="56">
        <f>+(P131-P157)/(P29*$F$168)</f>
        <v/>
      </c>
      <c r="Q135" s="56">
        <f>+(Q131-Q157)/(Q29*$F$168)</f>
        <v/>
      </c>
      <c r="R135" s="56">
        <f>+(R131-R157)/(R29*$F$168)</f>
        <v/>
      </c>
    </row>
    <row r="136">
      <c r="A136" s="99" t="n"/>
      <c r="B136" s="99" t="n"/>
      <c r="C136" s="99" t="n"/>
      <c r="D136" s="32" t="inlineStr">
        <is>
          <t>DSCR (CFADS / cash interest + mandatory repayment) (x)</t>
        </is>
      </c>
      <c r="N136" s="56">
        <f>+N145/-(N147+N148)</f>
        <v/>
      </c>
      <c r="O136" s="56">
        <f>+O145/-(O147+O148)</f>
        <v/>
      </c>
      <c r="P136" s="56">
        <f>+P145/-(P147+P148)</f>
        <v/>
      </c>
      <c r="Q136" s="56">
        <f>+Q145/-(Q147+Q148)</f>
        <v/>
      </c>
      <c r="R136" s="56">
        <f>+R145/-(R147+R148)</f>
        <v/>
      </c>
    </row>
    <row r="138" ht="13.5" customHeight="1">
      <c r="B138" s="12" t="inlineStr">
        <is>
          <t>&gt;</t>
        </is>
      </c>
      <c r="C138" s="14" t="inlineStr">
        <is>
          <t>CF</t>
        </is>
      </c>
      <c r="D138" s="14" t="n"/>
      <c r="E138" s="14" t="n"/>
      <c r="F138" s="14" t="n"/>
      <c r="G138" s="14" t="n"/>
      <c r="H138" s="14" t="n"/>
      <c r="I138" s="14" t="n"/>
      <c r="J138" s="15" t="inlineStr">
        <is>
          <t>31-Jan</t>
        </is>
      </c>
      <c r="K138" s="15" t="inlineStr">
        <is>
          <t>31-Jan</t>
        </is>
      </c>
      <c r="L138" s="15" t="inlineStr">
        <is>
          <t>31-Jan</t>
        </is>
      </c>
      <c r="M138" s="15" t="inlineStr">
        <is>
          <t>31-Jan</t>
        </is>
      </c>
      <c r="N138" s="15" t="inlineStr">
        <is>
          <t>31-Jan</t>
        </is>
      </c>
      <c r="O138" s="15" t="inlineStr">
        <is>
          <t>31-Jan</t>
        </is>
      </c>
      <c r="P138" s="15" t="inlineStr">
        <is>
          <t>31-Jan</t>
        </is>
      </c>
      <c r="Q138" s="15" t="inlineStr">
        <is>
          <t>31-Jan</t>
        </is>
      </c>
      <c r="R138" s="15" t="inlineStr">
        <is>
          <t>31-Jan</t>
        </is>
      </c>
      <c r="S138" s="14" t="n"/>
      <c r="T138" s="14" t="n"/>
      <c r="U138" s="14" t="n"/>
      <c r="V138" s="14" t="n"/>
    </row>
    <row r="139" ht="13.5" customHeight="1">
      <c r="C139" s="14" t="inlineStr">
        <is>
          <t>€m</t>
        </is>
      </c>
      <c r="D139" s="14" t="n"/>
      <c r="E139" s="14" t="n"/>
      <c r="F139" s="14" t="n"/>
      <c r="G139" s="14" t="n"/>
      <c r="H139" s="14" t="n"/>
      <c r="I139" s="14" t="n"/>
      <c r="J139" s="16">
        <f>+J20</f>
        <v/>
      </c>
      <c r="K139" s="16">
        <f>+J139+1</f>
        <v/>
      </c>
      <c r="L139" s="16">
        <f>+K139+1</f>
        <v/>
      </c>
      <c r="M139" s="16">
        <f>+L139+1</f>
        <v/>
      </c>
      <c r="N139" s="17">
        <f>+M139+1</f>
        <v/>
      </c>
      <c r="O139" s="17">
        <f>+N139+1</f>
        <v/>
      </c>
      <c r="P139" s="17">
        <f>+O139+1</f>
        <v/>
      </c>
      <c r="Q139" s="17">
        <f>+P139+1</f>
        <v/>
      </c>
      <c r="R139" s="17">
        <f>+Q139+1</f>
        <v/>
      </c>
      <c r="S139" s="14" t="n"/>
      <c r="T139" s="14" t="n"/>
      <c r="U139" s="14" t="n"/>
      <c r="V139" s="14" t="n"/>
    </row>
    <row r="141">
      <c r="D141" s="41" t="inlineStr">
        <is>
          <t>Attributable Pre-IFRS 16 Cash EBITDA (% Stake Acquired)</t>
        </is>
      </c>
      <c r="J141" s="42">
        <f>+J29*$F$168</f>
        <v/>
      </c>
      <c r="K141" s="42">
        <f>+K29*$F$168</f>
        <v/>
      </c>
      <c r="L141" s="42">
        <f>+L29*$F$168</f>
        <v/>
      </c>
      <c r="M141" s="42">
        <f>+M29*$F$168</f>
        <v/>
      </c>
      <c r="N141" s="42">
        <f>+N29*$F$168</f>
        <v/>
      </c>
      <c r="O141" s="42">
        <f>+O29*$F$168</f>
        <v/>
      </c>
      <c r="P141" s="42">
        <f>+P29*$F$168</f>
        <v/>
      </c>
      <c r="Q141" s="42">
        <f>+Q29*$F$168</f>
        <v/>
      </c>
      <c r="R141" s="42">
        <f>+R29*$F$168</f>
        <v/>
      </c>
    </row>
    <row r="142">
      <c r="D142" s="22" t="inlineStr">
        <is>
          <t>Taxes (Attributable to LBO Perimeter)</t>
        </is>
      </c>
      <c r="J142" s="52">
        <f>+J36</f>
        <v/>
      </c>
      <c r="K142" s="52">
        <f>+K36</f>
        <v/>
      </c>
      <c r="L142" s="52">
        <f>+L36</f>
        <v/>
      </c>
      <c r="M142" s="52">
        <f>+M36</f>
        <v/>
      </c>
      <c r="N142" s="35">
        <f>+N36</f>
        <v/>
      </c>
      <c r="O142" s="35">
        <f>+O36</f>
        <v/>
      </c>
      <c r="P142" s="35">
        <f>+P36</f>
        <v/>
      </c>
      <c r="Q142" s="35">
        <f>+Q36</f>
        <v/>
      </c>
      <c r="R142" s="35">
        <f>+R36</f>
        <v/>
      </c>
    </row>
    <row r="143">
      <c r="D143" s="22" t="inlineStr">
        <is>
          <t>Attributable Wk cash flow (% Stake Acquired)</t>
        </is>
      </c>
      <c r="J143" s="52">
        <f>+J49*$F$168</f>
        <v/>
      </c>
      <c r="K143" s="52">
        <f>+K49*$F$168</f>
        <v/>
      </c>
      <c r="L143" s="52">
        <f>+L49*$F$168</f>
        <v/>
      </c>
      <c r="M143" s="52">
        <f>+M49*$F$168</f>
        <v/>
      </c>
      <c r="N143" s="35">
        <f>+N49*$F$168</f>
        <v/>
      </c>
      <c r="O143" s="35">
        <f>+O49*$F$168</f>
        <v/>
      </c>
      <c r="P143" s="35">
        <f>+P49*$F$168</f>
        <v/>
      </c>
      <c r="Q143" s="35">
        <f>+Q49*$F$168</f>
        <v/>
      </c>
      <c r="R143" s="35">
        <f>+R49*$F$168</f>
        <v/>
      </c>
    </row>
    <row r="144">
      <c r="D144" s="22" t="inlineStr">
        <is>
          <t>Attributable Capex (% Stake Acquired)</t>
        </is>
      </c>
      <c r="J144" s="52">
        <f>-J55*$F$168</f>
        <v/>
      </c>
      <c r="K144" s="52">
        <f>-K55*$F$168</f>
        <v/>
      </c>
      <c r="L144" s="52">
        <f>-L55*$F$168</f>
        <v/>
      </c>
      <c r="M144" s="52">
        <f>-M55*$F$168</f>
        <v/>
      </c>
      <c r="N144" s="35">
        <f>-N55*$F$168</f>
        <v/>
      </c>
      <c r="O144" s="35">
        <f>-O55*$F$168</f>
        <v/>
      </c>
      <c r="P144" s="35">
        <f>-P55*$F$168</f>
        <v/>
      </c>
      <c r="Q144" s="35">
        <f>-Q55*$F$168</f>
        <v/>
      </c>
      <c r="R144" s="35">
        <f>-R55*$F$168</f>
        <v/>
      </c>
    </row>
    <row r="145">
      <c r="D145" s="18" t="inlineStr">
        <is>
          <t>CF for debt service (Attributable CFADS)</t>
        </is>
      </c>
      <c r="E145" s="18" t="n"/>
      <c r="F145" s="18" t="n"/>
      <c r="G145" s="18" t="n"/>
      <c r="H145" s="18" t="n"/>
      <c r="I145" s="18" t="n"/>
      <c r="J145" s="28">
        <f>+SUM(J141:J144)</f>
        <v/>
      </c>
      <c r="K145" s="28">
        <f>+SUM(K141:K144)</f>
        <v/>
      </c>
      <c r="L145" s="28">
        <f>+SUM(L141:L144)</f>
        <v/>
      </c>
      <c r="M145" s="28">
        <f>+SUM(M141:M144)</f>
        <v/>
      </c>
      <c r="N145" s="28">
        <f>+SUM(N141:N144)</f>
        <v/>
      </c>
      <c r="O145" s="28">
        <f>+SUM(O141:O144)</f>
        <v/>
      </c>
      <c r="P145" s="28">
        <f>+SUM(P141:P144)</f>
        <v/>
      </c>
      <c r="Q145" s="28">
        <f>+SUM(Q141:Q144)</f>
        <v/>
      </c>
      <c r="R145" s="28">
        <f>+SUM(R141:R144)</f>
        <v/>
      </c>
    </row>
    <row r="147">
      <c r="D147" s="22" t="inlineStr">
        <is>
          <t>Cash interests &amp; commitment fees</t>
        </is>
      </c>
      <c r="N147" s="35">
        <f>+N132</f>
        <v/>
      </c>
      <c r="O147" s="35">
        <f>+O132</f>
        <v/>
      </c>
      <c r="P147" s="35">
        <f>+P132</f>
        <v/>
      </c>
      <c r="Q147" s="35">
        <f>+Q132</f>
        <v/>
      </c>
      <c r="R147" s="35">
        <f>+R132</f>
        <v/>
      </c>
    </row>
    <row r="148">
      <c r="D148" s="22" t="inlineStr">
        <is>
          <t>Mandatory debt repayment (TLA + TLB)</t>
        </is>
      </c>
      <c r="N148" s="35">
        <f>+N128</f>
        <v/>
      </c>
      <c r="O148" s="35">
        <f>+O128</f>
        <v/>
      </c>
      <c r="P148" s="35">
        <f>+P128</f>
        <v/>
      </c>
      <c r="Q148" s="35">
        <f>+Q128</f>
        <v/>
      </c>
      <c r="R148" s="35">
        <f>+R128</f>
        <v/>
      </c>
    </row>
    <row r="149">
      <c r="D149" s="18" t="inlineStr">
        <is>
          <t>FCF after mandatory debt service</t>
        </is>
      </c>
      <c r="E149" s="18" t="n"/>
      <c r="F149" s="18" t="n"/>
      <c r="G149" s="18" t="n"/>
      <c r="H149" s="18" t="n"/>
      <c r="I149" s="18" t="n"/>
      <c r="J149" s="18" t="n"/>
      <c r="K149" s="18" t="n"/>
      <c r="L149" s="18" t="n"/>
      <c r="M149" s="18" t="n"/>
      <c r="N149" s="28">
        <f>+N145+N147+N148</f>
        <v/>
      </c>
      <c r="O149" s="28">
        <f>+O145+O147+O148</f>
        <v/>
      </c>
      <c r="P149" s="28">
        <f>+P145+P147+P148</f>
        <v/>
      </c>
      <c r="Q149" s="28">
        <f>+Q145+Q147+Q148</f>
        <v/>
      </c>
      <c r="R149" s="28">
        <f>+R145+R147+R148</f>
        <v/>
      </c>
    </row>
    <row r="150">
      <c r="D150" s="32" t="inlineStr">
        <is>
          <t>Excess cash before RCF &amp; sweep (above min cash)</t>
        </is>
      </c>
      <c r="N150" s="40">
        <f>+(N156-$F$171*$F$168)+N149</f>
        <v/>
      </c>
      <c r="O150" s="40">
        <f>+(O156-$F$171*$F$168)+O149</f>
        <v/>
      </c>
      <c r="P150" s="40">
        <f>+(P156-$F$171*$F$168)+P149</f>
        <v/>
      </c>
      <c r="Q150" s="40">
        <f>+(Q156-$F$171*$F$168)+Q149</f>
        <v/>
      </c>
      <c r="R150" s="40">
        <f>+(R156-$F$171*$F$168)+R149</f>
        <v/>
      </c>
    </row>
    <row r="151">
      <c r="D151" s="22" t="inlineStr">
        <is>
          <t>RCF draw / (repayment)</t>
        </is>
      </c>
      <c r="N151" s="35">
        <f>+N116</f>
        <v/>
      </c>
      <c r="O151" s="35">
        <f>+O116</f>
        <v/>
      </c>
      <c r="P151" s="35">
        <f>+P116</f>
        <v/>
      </c>
      <c r="Q151" s="35">
        <f>+Q116</f>
        <v/>
      </c>
      <c r="R151" s="35">
        <f>+R116</f>
        <v/>
      </c>
    </row>
    <row r="152">
      <c r="D152" s="22" t="inlineStr">
        <is>
          <t>Optional TLB cash sweep</t>
        </is>
      </c>
      <c r="N152" s="35">
        <f>+N91</f>
        <v/>
      </c>
      <c r="O152" s="35">
        <f>+O91</f>
        <v/>
      </c>
      <c r="P152" s="35">
        <f>+P91</f>
        <v/>
      </c>
      <c r="Q152" s="35">
        <f>+Q91</f>
        <v/>
      </c>
      <c r="R152" s="35">
        <f>+R91</f>
        <v/>
      </c>
    </row>
    <row r="153">
      <c r="D153" s="22" t="inlineStr">
        <is>
          <t>Dividends to Sponsor</t>
        </is>
      </c>
      <c r="N153" s="34">
        <f>-N88</f>
        <v/>
      </c>
      <c r="O153" s="34">
        <f>-O88</f>
        <v/>
      </c>
      <c r="P153" s="34">
        <f>-P88</f>
        <v/>
      </c>
      <c r="Q153" s="34">
        <f>-Q88</f>
        <v/>
      </c>
      <c r="R153" s="34">
        <f>-R88</f>
        <v/>
      </c>
    </row>
    <row r="154">
      <c r="D154" s="18" t="inlineStr">
        <is>
          <t>Total CF (Net change in attributable cash)</t>
        </is>
      </c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28">
        <f>+N149+SUM(N151:N153)+N88</f>
        <v/>
      </c>
      <c r="O154" s="28">
        <f>+O149+SUM(O151:O153)+O88</f>
        <v/>
      </c>
      <c r="P154" s="28">
        <f>+P149+SUM(P151:P153)+P88</f>
        <v/>
      </c>
      <c r="Q154" s="28">
        <f>+Q149+SUM(Q151:Q153)+Q88</f>
        <v/>
      </c>
      <c r="R154" s="28">
        <f>+R149+SUM(R151:R153)+R88</f>
        <v/>
      </c>
    </row>
    <row r="156">
      <c r="D156" s="22" t="inlineStr">
        <is>
          <t>BoP attributable cash</t>
        </is>
      </c>
      <c r="M156" s="30">
        <f>+F171*F168</f>
        <v/>
      </c>
      <c r="N156" s="35">
        <f>+M157</f>
        <v/>
      </c>
      <c r="O156" s="35">
        <f>+N157</f>
        <v/>
      </c>
      <c r="P156" s="35">
        <f>+O157</f>
        <v/>
      </c>
      <c r="Q156" s="35">
        <f>+P157</f>
        <v/>
      </c>
      <c r="R156" s="35">
        <f>+Q157</f>
        <v/>
      </c>
    </row>
    <row r="157">
      <c r="D157" s="36" t="inlineStr">
        <is>
          <t>EoP attributable cash</t>
        </is>
      </c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7">
        <f>+M156</f>
        <v/>
      </c>
      <c r="N157" s="37">
        <f>+N156+N154</f>
        <v/>
      </c>
      <c r="O157" s="37">
        <f>+O156+O154</f>
        <v/>
      </c>
      <c r="P157" s="37">
        <f>+P156+P154</f>
        <v/>
      </c>
      <c r="Q157" s="37">
        <f>+Q156+Q154</f>
        <v/>
      </c>
      <c r="R157" s="37">
        <f>+R156+R154</f>
        <v/>
      </c>
    </row>
    <row r="160" ht="15.75" customHeight="1">
      <c r="A160" s="12" t="inlineStr">
        <is>
          <t>&gt;</t>
        </is>
      </c>
      <c r="B160" s="12" t="inlineStr">
        <is>
          <t>&gt;</t>
        </is>
      </c>
      <c r="C160" s="13" t="inlineStr">
        <is>
          <t>LBO (Ortega Block Control Buyout: Senior + Subordinated + Vendor Loan)</t>
        </is>
      </c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</row>
    <row r="162">
      <c r="B162" s="12" t="inlineStr">
        <is>
          <t>&gt;</t>
        </is>
      </c>
      <c r="C162" s="14" t="inlineStr">
        <is>
          <t>LBO Assumptions &amp; Adjustable Acquisition Perimeter</t>
        </is>
      </c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</row>
    <row r="163">
      <c r="B163" s="9" t="n">
        <v>6</v>
      </c>
      <c r="D163" s="41" t="inlineStr">
        <is>
          <t>100% Inditex FY25A Pre-IFRS 16 Cash EBITDA (€m)</t>
        </is>
      </c>
      <c r="F163" s="57">
        <f>+M29</f>
        <v/>
      </c>
      <c r="H163" s="41" t="inlineStr">
        <is>
          <t>Implied 100% Offer Enterprise Value (€m)</t>
        </is>
      </c>
      <c r="K163" s="57">
        <f>+F166*F167-F172</f>
        <v/>
      </c>
    </row>
    <row r="164">
      <c r="D164" s="22" t="inlineStr">
        <is>
          <t>Current undisturbed share price (€/sh)</t>
        </is>
      </c>
      <c r="F164" s="58" t="n">
        <v>55.42</v>
      </c>
      <c r="H164" s="41" t="inlineStr">
        <is>
          <t>Implied Entry EV / Pre-IFRS 16 EBITDA</t>
        </is>
      </c>
      <c r="K164" s="59">
        <f>+K163/F163</f>
        <v/>
      </c>
    </row>
    <row r="165">
      <c r="A165" s="99" t="n"/>
      <c r="B165" s="99" t="n"/>
      <c r="C165" s="99" t="n"/>
      <c r="D165" s="41" t="inlineStr">
        <is>
          <t>Offer premium / (block discount) (%)</t>
        </is>
      </c>
      <c r="F165" s="60" t="n">
        <v>0.2</v>
      </c>
      <c r="H165" s="22" t="inlineStr">
        <is>
          <t>Implied Entry EV / Reported Post-IFRS 16 EBITDA</t>
        </is>
      </c>
      <c r="K165" s="61">
        <f>+K163/M26</f>
        <v/>
      </c>
    </row>
    <row r="166">
      <c r="D166" s="41" t="inlineStr">
        <is>
          <t>Acquisition price per share (€/sh)</t>
        </is>
      </c>
      <c r="F166" s="62">
        <f>+F164*(1+F165)</f>
        <v/>
      </c>
      <c r="H166" s="41" t="inlineStr">
        <is>
          <t>Exit year (selectable: 2026 to 2030)</t>
        </is>
      </c>
      <c r="K166" s="63" t="n">
        <v>2030</v>
      </c>
    </row>
    <row r="167">
      <c r="D167" s="22" t="inlineStr">
        <is>
          <t>Total diluted shares outstanding (m)</t>
        </is>
      </c>
      <c r="F167" s="64" t="n">
        <v>3116.652</v>
      </c>
      <c r="H167" s="41">
        <f>"Exit multiple - Pre-IFRS 16 EBITDA "&amp;K166&amp;"E"</f>
        <v/>
      </c>
      <c r="K167" s="65">
        <f>+K164</f>
        <v/>
      </c>
    </row>
    <row r="168">
      <c r="D168" s="41" t="inlineStr">
        <is>
          <t>Stake acquired (%) [100% vía OPA, incl. rollover Pontegadea]</t>
        </is>
      </c>
      <c r="F168" s="66" t="n">
        <v>1</v>
      </c>
      <c r="H168" s="22" t="inlineStr">
        <is>
          <t>Entry transaction expenses (% of purchase)</t>
        </is>
      </c>
      <c r="K168" s="23" t="n">
        <v>0.015</v>
      </c>
    </row>
    <row r="169">
      <c r="D169" s="41" t="inlineStr">
        <is>
          <t>Attributable FY25A Pre-IFRS 16 Cash EBITDA (€m)</t>
        </is>
      </c>
      <c r="F169" s="57">
        <f>+F163*F168</f>
        <v/>
      </c>
      <c r="H169" s="22" t="inlineStr">
        <is>
          <t>Upfront financing fees (% of bank/sub debt)</t>
        </is>
      </c>
      <c r="K169" s="23" t="n">
        <v>0.0225</v>
      </c>
    </row>
    <row r="170">
      <c r="D170" s="41" t="inlineStr">
        <is>
          <t>Target stake purchase price (€m)</t>
        </is>
      </c>
      <c r="F170" s="57">
        <f>+F166*F167*F168</f>
        <v/>
      </c>
      <c r="H170" s="22" t="inlineStr">
        <is>
          <t>Exit transaction expenses (% of exit EV)</t>
        </is>
      </c>
      <c r="K170" s="23" t="n">
        <v>0.005</v>
      </c>
    </row>
    <row r="171">
      <c r="D171" s="22" t="inlineStr">
        <is>
          <t>Minimum cash retained on 100% Inditex BS (€m)</t>
        </is>
      </c>
      <c r="F171" s="64" t="n">
        <v>2000</v>
      </c>
      <c r="H171" s="22" t="inlineStr">
        <is>
          <t>Amancio Ortega stake (Pontegadea + Partler, %)</t>
        </is>
      </c>
      <c r="K171" s="94" t="n">
        <v>0.59294</v>
      </c>
    </row>
    <row r="172">
      <c r="D172" s="22" t="inlineStr">
        <is>
          <t>Existing statutory net cash on 100% BS (€m)</t>
        </is>
      </c>
      <c r="F172" s="64" t="n">
        <v>10958</v>
      </c>
      <c r="H172" s="22" t="inlineStr">
        <is>
          <t>Rollover of Amancio stake into TopCo (%)</t>
        </is>
      </c>
      <c r="K172" s="23" t="n">
        <v>0.5</v>
      </c>
    </row>
    <row r="173">
      <c r="D173" s="41" t="inlineStr">
        <is>
          <t>Attributable excess cash deployed at close (€m)</t>
        </is>
      </c>
      <c r="F173" s="57">
        <f>+MAX(0,F172-F171)*F168</f>
        <v/>
      </c>
      <c r="H173" s="22" t="inlineStr">
        <is>
          <t>Pontegadea rollover value (€m)</t>
        </is>
      </c>
      <c r="K173" s="57">
        <f>+F166*F167*K171*K172</f>
        <v/>
      </c>
    </row>
    <row r="174">
      <c r="H174" s="22" t="inlineStr">
        <is>
          <t>Interest deductibility cap (% reported EBITDA, art. 16 LIS)</t>
        </is>
      </c>
      <c r="K174" s="23" t="n">
        <v>0.3</v>
      </c>
    </row>
    <row r="175">
      <c r="D175" s="14" t="inlineStr">
        <is>
          <t>Multi-Tranche Debt Assumptions (Sized on Attributable EBITDA)</t>
        </is>
      </c>
      <c r="E175" s="14" t="n"/>
      <c r="F175" s="67" t="inlineStr">
        <is>
          <t>All-in Rate / Val</t>
        </is>
      </c>
      <c r="G175" s="67" t="inlineStr">
        <is>
          <t>xEBITDA / Base</t>
        </is>
      </c>
      <c r="H175" s="67" t="inlineStr">
        <is>
          <t>Spread / Fixed</t>
        </is>
      </c>
      <c r="I175" s="67" t="inlineStr">
        <is>
          <t>PIK (0=Cash,1=PIK)</t>
        </is>
      </c>
    </row>
    <row r="176">
      <c r="D176" s="41" t="inlineStr">
        <is>
          <t>Total LBO Debt xAttributable EBITDA (All Tranches)</t>
        </is>
      </c>
      <c r="F176" s="68">
        <f>+SUM(G178:G181)</f>
        <v/>
      </c>
    </row>
    <row r="177">
      <c r="D177" s="22" t="inlineStr">
        <is>
          <t>Blended initial interest rate / Reference Euribor</t>
        </is>
      </c>
      <c r="F177" s="69">
        <f>+(E190*F178+E191*F179+E192*F180+E193*F181)/SUM(E190:E193)</f>
        <v/>
      </c>
      <c r="G177" s="70" t="n">
        <v>0.0259</v>
      </c>
    </row>
    <row r="178">
      <c r="D178" s="22" t="inlineStr">
        <is>
          <t>1A. Senior TLA (6y amortising: 0/10/15/20/25% + 30% at exit)</t>
        </is>
      </c>
      <c r="F178" s="69">
        <f>+$G$177+H178</f>
        <v/>
      </c>
      <c r="G178" s="71" t="n">
        <v>2.25</v>
      </c>
      <c r="H178" s="70" t="n">
        <v>0.0325</v>
      </c>
    </row>
    <row r="179">
      <c r="D179" s="22" t="inlineStr">
        <is>
          <t>1B. Senior TLB (7y bullet; 75% cash sweep in F183)</t>
        </is>
      </c>
      <c r="F179" s="69">
        <f>+$G$177+H179</f>
        <v/>
      </c>
      <c r="G179" s="71" t="n">
        <v>2.25</v>
      </c>
      <c r="H179" s="70" t="n">
        <v>0.0425</v>
      </c>
    </row>
    <row r="180">
      <c r="D180" s="22" t="inlineStr">
        <is>
          <t>2. HoldCo PIK notes (Bullet; fixed rate; I180: 0=Cash, 1=PIK)</t>
        </is>
      </c>
      <c r="F180" s="69">
        <f>+H180</f>
        <v/>
      </c>
      <c r="G180" s="71" t="n">
        <v>1.5</v>
      </c>
      <c r="H180" s="70" t="n">
        <v>0.105</v>
      </c>
      <c r="I180" s="72" t="n">
        <v>1</v>
      </c>
    </row>
    <row r="181">
      <c r="D181" s="22" t="inlineStr">
        <is>
          <t>3. Ortega Vendor Loan 1x (Bullet, subordinated; I181: 0=Cash, 1=PIK)</t>
        </is>
      </c>
      <c r="F181" s="69">
        <f>+H181</f>
        <v/>
      </c>
      <c r="G181" s="71" t="n">
        <v>1</v>
      </c>
      <c r="H181" s="70" t="n">
        <v>0.1</v>
      </c>
      <c r="I181" s="72" t="n">
        <v>1</v>
      </c>
    </row>
    <row r="182">
      <c r="D182" s="22" t="inlineStr">
        <is>
          <t>TLB mandatory amortisation (% p.a. — 0% = Bullet)</t>
        </is>
      </c>
      <c r="F182" s="43" t="n">
        <v>0</v>
      </c>
    </row>
    <row r="183">
      <c r="D183" s="41" t="inlineStr">
        <is>
          <t>TLB excess cash sweep (% — 0% = Hold to maturity)</t>
        </is>
      </c>
      <c r="F183" s="73" t="n">
        <v>0.75</v>
      </c>
    </row>
    <row r="184">
      <c r="D184" s="22" t="inlineStr">
        <is>
          <t>RCF commitment limit (€m, undrawn at close)</t>
        </is>
      </c>
      <c r="F184" s="34" t="n">
        <v>4000</v>
      </c>
    </row>
    <row r="185">
      <c r="D185" s="22" t="inlineStr">
        <is>
          <t>RCF drawn interest rate (Euribor + 3.00%)</t>
        </is>
      </c>
      <c r="F185" s="69">
        <f>+$G$177+H185</f>
        <v/>
      </c>
      <c r="H185" s="70" t="n">
        <v>0.03</v>
      </c>
    </row>
    <row r="186">
      <c r="D186" s="22" t="inlineStr">
        <is>
          <t>RCF undrawn commitment fee (% p.a.)</t>
        </is>
      </c>
      <c r="F186" s="70" t="n">
        <v>0.0105</v>
      </c>
    </row>
    <row r="188">
      <c r="B188" s="12" t="inlineStr">
        <is>
          <t>&gt;</t>
        </is>
      </c>
      <c r="C188" s="14" t="inlineStr">
        <is>
          <t>S&amp;U (Acquisition of Target Stake &amp; Newco Ownership)</t>
        </is>
      </c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</row>
    <row r="189">
      <c r="D189" s="13" t="inlineStr">
        <is>
          <t>Sources of Funds</t>
        </is>
      </c>
      <c r="E189" s="74" t="inlineStr">
        <is>
          <t>€m</t>
        </is>
      </c>
      <c r="F189" s="74" t="inlineStr">
        <is>
          <t>%</t>
        </is>
      </c>
    </row>
    <row r="190">
      <c r="D190" s="22" t="inlineStr">
        <is>
          <t>1A. Senior TLA</t>
        </is>
      </c>
      <c r="E190" s="35">
        <f>+G178*F169</f>
        <v/>
      </c>
      <c r="F190" s="31">
        <f>+E190/$E$197</f>
        <v/>
      </c>
    </row>
    <row r="191">
      <c r="D191" s="22" t="inlineStr">
        <is>
          <t>1B. Senior TLB</t>
        </is>
      </c>
      <c r="E191" s="35">
        <f>+G179*F169</f>
        <v/>
      </c>
      <c r="F191" s="31">
        <f>+E191/$E$197</f>
        <v/>
      </c>
    </row>
    <row r="192">
      <c r="D192" s="22" t="inlineStr">
        <is>
          <t>2. Subordinated / Mezzanine debt</t>
        </is>
      </c>
      <c r="E192" s="35">
        <f>+G180*F169</f>
        <v/>
      </c>
      <c r="F192" s="31">
        <f>+E192/$E$197</f>
        <v/>
      </c>
    </row>
    <row r="193">
      <c r="D193" s="22" t="inlineStr">
        <is>
          <t>3. Ortega family Vendor Loan</t>
        </is>
      </c>
      <c r="E193" s="35">
        <f>+G181*F169</f>
        <v/>
      </c>
      <c r="F193" s="31">
        <f>+E193/$E$197</f>
        <v/>
      </c>
    </row>
    <row r="194">
      <c r="D194" s="75" t="inlineStr">
        <is>
          <t>4. RCF drawn at close</t>
        </is>
      </c>
      <c r="E194" s="34" t="n">
        <v>0</v>
      </c>
      <c r="F194" s="43">
        <f>+E194/$E$197</f>
        <v/>
      </c>
    </row>
    <row r="195">
      <c r="D195" s="22" t="inlineStr">
        <is>
          <t>Attributable excess BS cash deployed</t>
        </is>
      </c>
      <c r="E195" s="35">
        <f>+F173+Palancas_calc!$C$50</f>
        <v/>
      </c>
      <c r="F195" s="31">
        <f>+E195/$E$197</f>
        <v/>
      </c>
    </row>
    <row r="196">
      <c r="D196" s="41" t="inlineStr">
        <is>
          <t>Total equity cheque (Sponsor cash + Pontegadea rollover) — plug</t>
        </is>
      </c>
      <c r="E196" s="42">
        <f>+E197-SUM(E190:E195)</f>
        <v/>
      </c>
      <c r="F196" s="76">
        <f>+E196/$E$197</f>
        <v/>
      </c>
    </row>
    <row r="197">
      <c r="D197" s="36" t="inlineStr">
        <is>
          <t>Total sources of funds</t>
        </is>
      </c>
      <c r="E197" s="37">
        <f>+E204</f>
        <v/>
      </c>
      <c r="F197" s="38">
        <f>+E197/$E$197</f>
        <v/>
      </c>
    </row>
    <row r="199">
      <c r="D199" s="13" t="inlineStr">
        <is>
          <t>Uses of Funds</t>
        </is>
      </c>
      <c r="E199" s="74" t="inlineStr">
        <is>
          <t>€m</t>
        </is>
      </c>
      <c r="F199" s="74" t="inlineStr">
        <is>
          <t>%</t>
        </is>
      </c>
    </row>
    <row r="200">
      <c r="D200" s="22" t="inlineStr">
        <is>
          <t>Acquisition of Target Stake (% in F168)</t>
        </is>
      </c>
      <c r="E200" s="35">
        <f>+F170</f>
        <v/>
      </c>
      <c r="F200" s="31">
        <f>+E200/$E$204</f>
        <v/>
      </c>
    </row>
    <row r="201">
      <c r="D201" s="22" t="inlineStr">
        <is>
          <t>Minimum cash funded (0 = retained from BS)</t>
        </is>
      </c>
      <c r="E201" s="34" t="n">
        <v>0</v>
      </c>
      <c r="F201" s="31">
        <f>+E201/$E$204</f>
        <v/>
      </c>
    </row>
    <row r="202">
      <c r="D202" s="22" t="inlineStr">
        <is>
          <t>Upfront financing fees (% of bank/sub debt)</t>
        </is>
      </c>
      <c r="E202" s="35">
        <f>+SUM(E190:E192)*K169</f>
        <v/>
      </c>
      <c r="F202" s="31">
        <f>+E202/$E$204</f>
        <v/>
      </c>
    </row>
    <row r="203">
      <c r="D203" s="22" t="inlineStr">
        <is>
          <t>Transaction advisory expenses (% purchase)</t>
        </is>
      </c>
      <c r="E203" s="35">
        <f>+E200*K168</f>
        <v/>
      </c>
      <c r="F203" s="31">
        <f>+E203/$E$204</f>
        <v/>
      </c>
    </row>
    <row r="204">
      <c r="D204" s="36" t="inlineStr">
        <is>
          <t>Total uses of funds</t>
        </is>
      </c>
      <c r="E204" s="37">
        <f>+SUM(E200:E203)</f>
        <v/>
      </c>
      <c r="F204" s="38">
        <f>+E204/$E$204</f>
        <v/>
      </c>
    </row>
    <row r="206">
      <c r="D206" s="13" t="inlineStr">
        <is>
          <t>Newco Equity Ownership (Control Buyout Vehicle)</t>
        </is>
      </c>
      <c r="E206" s="74" t="inlineStr">
        <is>
          <t>€m</t>
        </is>
      </c>
      <c r="F206" s="74" t="inlineStr">
        <is>
          <t>% Newco</t>
        </is>
      </c>
    </row>
    <row r="207">
      <c r="D207" s="22" t="inlineStr">
        <is>
          <t>Pontegadea rollover in TopCo (50% of Amancio stake)</t>
        </is>
      </c>
      <c r="E207" s="34">
        <f>+K173</f>
        <v/>
      </c>
      <c r="F207" s="69">
        <f>+E207/$E$209</f>
        <v/>
      </c>
    </row>
    <row r="208">
      <c r="D208" s="41" t="inlineStr">
        <is>
          <t>Sponsor (Cash equity cheque)</t>
        </is>
      </c>
      <c r="E208" s="42">
        <f>+E196-E207</f>
        <v/>
      </c>
      <c r="F208" s="69">
        <f>+E208/$E$209</f>
        <v/>
      </c>
    </row>
    <row r="209">
      <c r="D209" s="36" t="inlineStr">
        <is>
          <t>Total Newco common equity</t>
        </is>
      </c>
      <c r="E209" s="37">
        <f>+SUM(E207:E208)</f>
        <v/>
      </c>
      <c r="F209" s="77">
        <f>+SUM(F207:F208)</f>
        <v/>
      </c>
    </row>
    <row r="212" ht="13.5" customHeight="1">
      <c r="B212" s="12" t="inlineStr">
        <is>
          <t>&gt;</t>
        </is>
      </c>
      <c r="C212" s="14" t="inlineStr">
        <is>
          <t>Exit valuation analysis</t>
        </is>
      </c>
      <c r="D212" s="14" t="n"/>
      <c r="E212" s="14" t="n"/>
      <c r="F212" s="14" t="n"/>
      <c r="G212" s="14" t="n"/>
      <c r="H212" s="14" t="n"/>
      <c r="I212" s="14" t="n"/>
      <c r="J212" s="15" t="inlineStr">
        <is>
          <t>31-Jan</t>
        </is>
      </c>
      <c r="K212" s="15" t="inlineStr">
        <is>
          <t>31-Jan</t>
        </is>
      </c>
      <c r="L212" s="15" t="inlineStr">
        <is>
          <t>31-Jan</t>
        </is>
      </c>
      <c r="M212" s="15" t="inlineStr">
        <is>
          <t>31-Jan</t>
        </is>
      </c>
      <c r="N212" s="15" t="inlineStr">
        <is>
          <t>31-Jan</t>
        </is>
      </c>
      <c r="O212" s="15" t="inlineStr">
        <is>
          <t>31-Jan</t>
        </is>
      </c>
      <c r="P212" s="15" t="inlineStr">
        <is>
          <t>31-Jan</t>
        </is>
      </c>
      <c r="Q212" s="15" t="inlineStr">
        <is>
          <t>31-Jan</t>
        </is>
      </c>
      <c r="R212" s="15" t="inlineStr">
        <is>
          <t>31-Jan</t>
        </is>
      </c>
      <c r="S212" s="14" t="n"/>
      <c r="T212" s="14" t="n"/>
      <c r="U212" s="14" t="n"/>
      <c r="V212" s="14" t="n"/>
    </row>
    <row r="213" ht="13.5" customHeight="1">
      <c r="C213" s="14" t="inlineStr">
        <is>
          <t>€m</t>
        </is>
      </c>
      <c r="D213" s="14" t="n"/>
      <c r="E213" s="14" t="n"/>
      <c r="F213" s="14" t="n"/>
      <c r="G213" s="14" t="n"/>
      <c r="H213" s="14" t="n"/>
      <c r="I213" s="14" t="n"/>
      <c r="J213" s="16">
        <f>+J20</f>
        <v/>
      </c>
      <c r="K213" s="16">
        <f>+J213+1</f>
        <v/>
      </c>
      <c r="L213" s="16">
        <f>+K213+1</f>
        <v/>
      </c>
      <c r="M213" s="16">
        <f>+L213+1</f>
        <v/>
      </c>
      <c r="N213" s="17">
        <f>+M213+1</f>
        <v/>
      </c>
      <c r="O213" s="17">
        <f>+N213+1</f>
        <v/>
      </c>
      <c r="P213" s="17">
        <f>+O213+1</f>
        <v/>
      </c>
      <c r="Q213" s="17">
        <f>+P213+1</f>
        <v/>
      </c>
      <c r="R213" s="17">
        <f>+Q213+1</f>
        <v/>
      </c>
      <c r="S213" s="14" t="n"/>
      <c r="T213" s="14" t="n"/>
      <c r="U213" s="14" t="n"/>
      <c r="V213" s="14" t="n"/>
    </row>
    <row r="215">
      <c r="B215" s="9" t="n">
        <v>7</v>
      </c>
      <c r="D215" s="22" t="inlineStr">
        <is>
          <t>EBITDA Exit Multiple (Pre-IFRS 16)</t>
        </is>
      </c>
      <c r="N215" s="78">
        <f>+$K$167</f>
        <v/>
      </c>
      <c r="O215" s="78">
        <f>+$K$167</f>
        <v/>
      </c>
      <c r="P215" s="78">
        <f>+$K$167</f>
        <v/>
      </c>
      <c r="Q215" s="78">
        <f>+$K$167</f>
        <v/>
      </c>
      <c r="R215" s="78">
        <f>+$K$167</f>
        <v/>
      </c>
    </row>
    <row r="216">
      <c r="D216" s="22" t="inlineStr">
        <is>
          <t>Attributable Pre-IFRS 16 Cash EBITDA (% Stake Acquired)</t>
        </is>
      </c>
      <c r="N216" s="35">
        <f>+N29*$F$168</f>
        <v/>
      </c>
      <c r="O216" s="35">
        <f>+O29*$F$168</f>
        <v/>
      </c>
      <c r="P216" s="35">
        <f>+P29*$F$168</f>
        <v/>
      </c>
      <c r="Q216" s="35">
        <f>+Q29*$F$168</f>
        <v/>
      </c>
      <c r="R216" s="35">
        <f>+R29*$F$168</f>
        <v/>
      </c>
    </row>
    <row r="217">
      <c r="D217" s="18" t="inlineStr">
        <is>
          <t>Attributable Enterprise Value (EV of Acquired Stake)</t>
        </is>
      </c>
      <c r="E217" s="18" t="n"/>
      <c r="F217" s="18" t="n"/>
      <c r="G217" s="18" t="n"/>
      <c r="H217" s="18" t="n"/>
      <c r="I217" s="18" t="n"/>
      <c r="J217" s="18" t="n"/>
      <c r="K217" s="18" t="n"/>
      <c r="L217" s="18" t="n"/>
      <c r="M217" s="18" t="n"/>
      <c r="N217" s="28">
        <f>+N216*N215</f>
        <v/>
      </c>
      <c r="O217" s="28">
        <f>+O216*O215</f>
        <v/>
      </c>
      <c r="P217" s="28">
        <f>+P216*P215</f>
        <v/>
      </c>
      <c r="Q217" s="28">
        <f>+Q216*Q215</f>
        <v/>
      </c>
      <c r="R217" s="28">
        <f>+R216*R215</f>
        <v/>
      </c>
    </row>
    <row r="218">
      <c r="D218" s="22" t="inlineStr">
        <is>
          <t>Less: Total financial debt (Senior + Sub + Vendor Loan + RCF)</t>
        </is>
      </c>
      <c r="N218" s="35">
        <f>-N131</f>
        <v/>
      </c>
      <c r="O218" s="35">
        <f>-O131</f>
        <v/>
      </c>
      <c r="P218" s="35">
        <f>-P131</f>
        <v/>
      </c>
      <c r="Q218" s="35">
        <f>-Q131</f>
        <v/>
      </c>
      <c r="R218" s="35">
        <f>-R131</f>
        <v/>
      </c>
    </row>
    <row r="219">
      <c r="D219" s="22" t="inlineStr">
        <is>
          <t>Plus: Attributable EoP cash</t>
        </is>
      </c>
      <c r="N219" s="35">
        <f>+N157</f>
        <v/>
      </c>
      <c r="O219" s="35">
        <f>+O157</f>
        <v/>
      </c>
      <c r="P219" s="35">
        <f>+P157</f>
        <v/>
      </c>
      <c r="Q219" s="35">
        <f>+Q157</f>
        <v/>
      </c>
      <c r="R219" s="35">
        <f>+R157</f>
        <v/>
      </c>
    </row>
    <row r="220">
      <c r="D220" s="22" t="inlineStr">
        <is>
          <t>Less: Interim dividends</t>
        </is>
      </c>
      <c r="N220" s="35">
        <f>-N153</f>
        <v/>
      </c>
      <c r="O220" s="35">
        <f>-O153</f>
        <v/>
      </c>
      <c r="P220" s="35">
        <f>-P153</f>
        <v/>
      </c>
      <c r="Q220" s="35">
        <f>-Q153</f>
        <v/>
      </c>
      <c r="R220" s="35">
        <f>-R153</f>
        <v/>
      </c>
    </row>
    <row r="221">
      <c r="D221" s="22" t="inlineStr">
        <is>
          <t>Less: Exit transaction expenses</t>
        </is>
      </c>
      <c r="N221" s="35">
        <f>-$K$170*N217</f>
        <v/>
      </c>
      <c r="O221" s="35">
        <f>-$K$170*O217</f>
        <v/>
      </c>
      <c r="P221" s="35">
        <f>-$K$170*P217</f>
        <v/>
      </c>
      <c r="Q221" s="35">
        <f>-$K$170*Q217</f>
        <v/>
      </c>
      <c r="R221" s="35">
        <f>-$K$170*R217</f>
        <v/>
      </c>
    </row>
    <row r="222">
      <c r="D222" s="36" t="inlineStr">
        <is>
          <t>Newco Equity Value at Exit</t>
        </is>
      </c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7">
        <f>+SUM(N217:N221)</f>
        <v/>
      </c>
      <c r="O222" s="37">
        <f>+SUM(O217:O221)</f>
        <v/>
      </c>
      <c r="P222" s="37">
        <f>+SUM(P217:P221)</f>
        <v/>
      </c>
      <c r="Q222" s="37">
        <f>+SUM(Q217:Q221)</f>
        <v/>
      </c>
      <c r="R222" s="37">
        <f>+SUM(R217:R221)</f>
        <v/>
      </c>
    </row>
    <row r="224">
      <c r="D224" s="22" t="inlineStr">
        <is>
          <t>Seller rollover proceeds (if any)</t>
        </is>
      </c>
      <c r="N224" s="35">
        <f>+N222*$F$207</f>
        <v/>
      </c>
      <c r="O224" s="35">
        <f>+O222*$F$207</f>
        <v/>
      </c>
      <c r="P224" s="35">
        <f>+P222*$F$207</f>
        <v/>
      </c>
      <c r="Q224" s="35">
        <f>+Q222*$F$207</f>
        <v/>
      </c>
      <c r="R224" s="35">
        <f>+R222*$F$207</f>
        <v/>
      </c>
    </row>
    <row r="225">
      <c r="D225" s="41" t="inlineStr">
        <is>
          <t>Sponsor (PE exit proceeds)</t>
        </is>
      </c>
      <c r="N225" s="42">
        <f>+N222*$F$208</f>
        <v/>
      </c>
      <c r="O225" s="42">
        <f>+O222*$F$208</f>
        <v/>
      </c>
      <c r="P225" s="42">
        <f>+P222*$F$208</f>
        <v/>
      </c>
      <c r="Q225" s="42">
        <f>+Q222*$F$208</f>
        <v/>
      </c>
      <c r="R225" s="42">
        <f>+R222*$F$208</f>
        <v/>
      </c>
    </row>
    <row r="227">
      <c r="D227" s="41" t="inlineStr">
        <is>
          <t>Returns Analysis (Sponsor)</t>
        </is>
      </c>
    </row>
    <row r="229">
      <c r="D229" s="79" t="inlineStr">
        <is>
          <t>Internal Rate of Return (IRR) @ Selected Exit</t>
        </is>
      </c>
      <c r="E229" s="79" t="n"/>
      <c r="F229" s="80">
        <f>+INDEX(U235:U239,MATCH($K$166,D235:D239,0))</f>
        <v/>
      </c>
      <c r="N229" s="76">
        <f>+U235</f>
        <v/>
      </c>
      <c r="O229" s="76">
        <f>+U236</f>
        <v/>
      </c>
      <c r="P229" s="76">
        <f>+U237</f>
        <v/>
      </c>
      <c r="Q229" s="76">
        <f>+U238</f>
        <v/>
      </c>
      <c r="R229" s="76">
        <f>+U239</f>
        <v/>
      </c>
    </row>
    <row r="230">
      <c r="D230" s="79" t="inlineStr">
        <is>
          <t>Money Multiple (MoM / CoC) @ Selected Exit</t>
        </is>
      </c>
      <c r="E230" s="79" t="n"/>
      <c r="F230" s="81">
        <f>+INDEX(V235:V239,MATCH($K$166,D235:D239,0))</f>
        <v/>
      </c>
      <c r="N230" s="68">
        <f>+V235</f>
        <v/>
      </c>
      <c r="O230" s="68">
        <f>+V236</f>
        <v/>
      </c>
      <c r="P230" s="68">
        <f>+V237</f>
        <v/>
      </c>
      <c r="Q230" s="68">
        <f>+V238</f>
        <v/>
      </c>
      <c r="R230" s="68">
        <f>+V239</f>
        <v/>
      </c>
    </row>
    <row r="232">
      <c r="M232" s="82">
        <f>+DATE(M234+1,1,31)</f>
        <v/>
      </c>
      <c r="N232" s="82">
        <f>+DATE(N234+1,1,31)</f>
        <v/>
      </c>
      <c r="O232" s="82">
        <f>+DATE(O234+1,1,31)</f>
        <v/>
      </c>
      <c r="P232" s="82">
        <f>+DATE(P234+1,1,31)</f>
        <v/>
      </c>
      <c r="Q232" s="82">
        <f>+DATE(Q234+1,1,31)</f>
        <v/>
      </c>
      <c r="R232" s="82">
        <f>+DATE(R234+1,1,31)</f>
        <v/>
      </c>
    </row>
    <row r="233">
      <c r="D233" s="14" t="inlineStr">
        <is>
          <t>IRR and CoC cash flow matrix</t>
        </is>
      </c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5" t="inlineStr">
        <is>
          <t>31-Jan</t>
        </is>
      </c>
      <c r="N233" s="15" t="inlineStr">
        <is>
          <t>31-Jan</t>
        </is>
      </c>
      <c r="O233" s="15" t="inlineStr">
        <is>
          <t>31-Jan</t>
        </is>
      </c>
      <c r="P233" s="15" t="inlineStr">
        <is>
          <t>31-Jan</t>
        </is>
      </c>
      <c r="Q233" s="15" t="inlineStr">
        <is>
          <t>31-Jan</t>
        </is>
      </c>
      <c r="R233" s="15" t="inlineStr">
        <is>
          <t>31-Jan</t>
        </is>
      </c>
      <c r="S233" s="14" t="n"/>
      <c r="T233" s="14" t="n"/>
      <c r="U233" s="14" t="n"/>
      <c r="V233" s="14" t="n"/>
    </row>
    <row r="234">
      <c r="D234" s="14" t="inlineStr">
        <is>
          <t>Exit year</t>
        </is>
      </c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6" t="n">
        <v>2025</v>
      </c>
      <c r="N234" s="17">
        <f>+M234+1</f>
        <v/>
      </c>
      <c r="O234" s="17">
        <f>+N234+1</f>
        <v/>
      </c>
      <c r="P234" s="17">
        <f>+O234+1</f>
        <v/>
      </c>
      <c r="Q234" s="17">
        <f>+P234+1</f>
        <v/>
      </c>
      <c r="R234" s="17">
        <f>+Q234+1</f>
        <v/>
      </c>
      <c r="S234" s="14" t="n"/>
      <c r="T234" s="14" t="n"/>
      <c r="U234" s="67" t="inlineStr">
        <is>
          <t>IRR</t>
        </is>
      </c>
      <c r="V234" s="67" t="inlineStr">
        <is>
          <t>CoC (MoM)</t>
        </is>
      </c>
    </row>
    <row r="235">
      <c r="D235" s="83">
        <f>+N234</f>
        <v/>
      </c>
      <c r="M235" s="35">
        <f>-$E$208</f>
        <v/>
      </c>
      <c r="N235" s="35">
        <f>+(IF($D235=N$234,N$222,0)+N$220)*$F$208</f>
        <v/>
      </c>
      <c r="O235" s="35" t="n">
        <v>0</v>
      </c>
      <c r="P235" s="35" t="n">
        <v>0</v>
      </c>
      <c r="Q235" s="35" t="n">
        <v>0</v>
      </c>
      <c r="R235" s="35" t="n">
        <v>0</v>
      </c>
      <c r="U235" s="76">
        <f>+IFERROR(XIRR(M235:N235,$M$232:$N$232),0)</f>
        <v/>
      </c>
      <c r="V235" s="68">
        <f>-SUM(N235:N235)/M235</f>
        <v/>
      </c>
    </row>
    <row r="236">
      <c r="D236" s="83">
        <f>+O234</f>
        <v/>
      </c>
      <c r="M236" s="35">
        <f>-$E$208</f>
        <v/>
      </c>
      <c r="N236" s="35">
        <f>+(IF($D236=N$234,N$222,0)+N$220)*$F$208</f>
        <v/>
      </c>
      <c r="O236" s="35">
        <f>+(IF($D236=O$234,O$222,0)+O$220)*$F$208</f>
        <v/>
      </c>
      <c r="P236" s="35" t="n">
        <v>0</v>
      </c>
      <c r="Q236" s="35" t="n">
        <v>0</v>
      </c>
      <c r="R236" s="35" t="n">
        <v>0</v>
      </c>
      <c r="U236" s="76">
        <f>+IFERROR(XIRR(M236:O236,$M$232:$O$232),0)</f>
        <v/>
      </c>
      <c r="V236" s="68">
        <f>-SUM(N236:O236)/M236</f>
        <v/>
      </c>
    </row>
    <row r="237">
      <c r="D237" s="83">
        <f>+P234</f>
        <v/>
      </c>
      <c r="M237" s="35">
        <f>-$E$208</f>
        <v/>
      </c>
      <c r="N237" s="35">
        <f>+(IF($D237=N$234,N$222,0)+N$220)*$F$208</f>
        <v/>
      </c>
      <c r="O237" s="35">
        <f>+(IF($D237=O$234,O$222,0)+O$220)*$F$208</f>
        <v/>
      </c>
      <c r="P237" s="35">
        <f>+(IF($D237=P$234,P$222,0)+P$220)*$F$208</f>
        <v/>
      </c>
      <c r="Q237" s="35" t="n">
        <v>0</v>
      </c>
      <c r="R237" s="35" t="n">
        <v>0</v>
      </c>
      <c r="U237" s="76">
        <f>+IFERROR(XIRR(M237:P237,$M$232:$P$232),0)</f>
        <v/>
      </c>
      <c r="V237" s="68">
        <f>-SUM(N237:P237)/M237</f>
        <v/>
      </c>
    </row>
    <row r="238">
      <c r="D238" s="83">
        <f>+Q234</f>
        <v/>
      </c>
      <c r="M238" s="35">
        <f>-$E$208</f>
        <v/>
      </c>
      <c r="N238" s="35">
        <f>+(IF($D238=N$234,N$222,0)+N$220)*$F$208</f>
        <v/>
      </c>
      <c r="O238" s="35">
        <f>+(IF($D238=O$234,O$222,0)+O$220)*$F$208</f>
        <v/>
      </c>
      <c r="P238" s="35">
        <f>+(IF($D238=P$234,P$222,0)+P$220)*$F$208</f>
        <v/>
      </c>
      <c r="Q238" s="35">
        <f>+(IF($D238=Q$234,Q$222,0)+Q$220)*$F$208</f>
        <v/>
      </c>
      <c r="R238" s="35" t="n">
        <v>0</v>
      </c>
      <c r="U238" s="76">
        <f>+IFERROR(XIRR(M238:Q238,$M$232:$Q$232),0)</f>
        <v/>
      </c>
      <c r="V238" s="68">
        <f>-SUM(N238:Q238)/M238</f>
        <v/>
      </c>
    </row>
    <row r="239">
      <c r="D239" s="83">
        <f>+R234</f>
        <v/>
      </c>
      <c r="M239" s="35">
        <f>-$E$208</f>
        <v/>
      </c>
      <c r="N239" s="35">
        <f>+(IF($D239=N$234,N$222,0)+N$220)*$F$208</f>
        <v/>
      </c>
      <c r="O239" s="35">
        <f>+(IF($D239=O$234,O$222,0)+O$220)*$F$208</f>
        <v/>
      </c>
      <c r="P239" s="35">
        <f>+(IF($D239=P$234,P$222,0)+P$220)*$F$208</f>
        <v/>
      </c>
      <c r="Q239" s="35">
        <f>+(IF($D239=Q$234,Q$222,0)+Q$220)*$F$208</f>
        <v/>
      </c>
      <c r="R239" s="35">
        <f>+(IF($D239=R$234,R$222,0)+R$220)*$F$208</f>
        <v/>
      </c>
      <c r="U239" s="76">
        <f>+IFERROR(XIRR(M239:R239,$M$232:$R$232),0)</f>
        <v/>
      </c>
      <c r="V239" s="68">
        <f>-SUM(N239:R239)/M239</f>
        <v/>
      </c>
    </row>
    <row r="241">
      <c r="D241" s="36">
        <f>"Active Exit @ "&amp;K166&amp;"E"</f>
        <v/>
      </c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7">
        <f>+INDEX(M235:M239,MATCH($K$166,$D$235:$D$239,0))</f>
        <v/>
      </c>
      <c r="N241" s="37">
        <f>+INDEX(N235:N239,MATCH($K$166,$D$235:$D$239,0))</f>
        <v/>
      </c>
      <c r="O241" s="37">
        <f>+INDEX(O235:O239,MATCH($K$166,$D$235:$D$239,0))</f>
        <v/>
      </c>
      <c r="P241" s="37">
        <f>+INDEX(P235:P239,MATCH($K$166,$D$235:$D$239,0))</f>
        <v/>
      </c>
      <c r="Q241" s="37">
        <f>+INDEX(Q235:Q239,MATCH($K$166,$D$235:$D$239,0))</f>
        <v/>
      </c>
      <c r="R241" s="37">
        <f>+INDEX(R235:R239,MATCH($K$166,$D$235:$D$239,0))</f>
        <v/>
      </c>
      <c r="S241" s="36" t="n"/>
      <c r="T241" s="36" t="n"/>
      <c r="U241" s="38">
        <f>+F229</f>
        <v/>
      </c>
      <c r="V241" s="84">
        <f>+F230</f>
        <v/>
      </c>
    </row>
    <row r="244">
      <c r="B244" s="12" t="inlineStr">
        <is>
          <t>&gt;</t>
        </is>
      </c>
      <c r="C244" s="14" t="inlineStr">
        <is>
          <t>Sensitivity Analysis (3x3) &amp; Automated Integrity Checks</t>
        </is>
      </c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</row>
    <row r="246">
      <c r="D246" s="41" t="inlineStr">
        <is>
          <t>Sponsor 2030E IRR — Offer Premium vs. Total Debt (incl. Vendor Loan)</t>
        </is>
      </c>
      <c r="J246" s="41" t="inlineStr">
        <is>
          <t>Sponsor 2030E Money Multiple (MoM)</t>
        </is>
      </c>
      <c r="N246" s="13" t="inlineStr">
        <is>
          <t>Automated Model Integrity Checks</t>
        </is>
      </c>
      <c r="O246" s="13" t="n"/>
      <c r="P246" s="13" t="n"/>
      <c r="Q246" s="74" t="inlineStr">
        <is>
          <t>Diff / Value</t>
        </is>
      </c>
      <c r="R246" s="85" t="inlineStr">
        <is>
          <t>Status</t>
        </is>
      </c>
    </row>
    <row r="247">
      <c r="D247" s="13" t="inlineStr">
        <is>
          <t>Offer Premium \ Total Debt xEBITDA</t>
        </is>
      </c>
      <c r="E247" s="86" t="n">
        <v>5</v>
      </c>
      <c r="F247" s="86" t="n">
        <v>6</v>
      </c>
      <c r="G247" s="86" t="n">
        <v>7</v>
      </c>
      <c r="J247" s="74" t="inlineStr">
        <is>
          <t>5.0x Debt</t>
        </is>
      </c>
      <c r="K247" s="74" t="inlineStr">
        <is>
          <t>6.0x Debt</t>
        </is>
      </c>
      <c r="L247" s="74" t="inlineStr">
        <is>
          <t>7.0x Debt</t>
        </is>
      </c>
      <c r="N247" s="22" t="inlineStr">
        <is>
          <t>1. Sources &amp; Uses balance check</t>
        </is>
      </c>
      <c r="Q247" s="35">
        <f>+E197-E204</f>
        <v/>
      </c>
      <c r="R247" s="87">
        <f>IF(ABS(Q247)&lt;0.01,"OK","CHECK")</f>
        <v/>
      </c>
    </row>
    <row r="248">
      <c r="D248" s="88" t="n">
        <v>0.05</v>
      </c>
      <c r="E248" s="89">
        <f>+(J248)^(365/($R$232-$M$232))-1</f>
        <v/>
      </c>
      <c r="F248" s="89">
        <f>+(K248)^(365/($R$232-$M$232))-1</f>
        <v/>
      </c>
      <c r="G248" s="89">
        <f>+(L248)^(365/($R$232-$M$232))-1</f>
        <v/>
      </c>
      <c r="J248" s="90">
        <f>+(($R$222+(((($F$164*(1+$D248)*$F$167-$F$172)/$F$163)-$K$167)*$R$216*(1-$K$170))-((E$247-$F$176)*$F$169*(1+5*$F$177*(1-$F$36)))))/(($F$164*(1+$D248)*$F$167*$F$168)*(1+$K$168)+$E$202-(E$247*$F$169)-$E$195)</f>
        <v/>
      </c>
      <c r="K248" s="90">
        <f>+(($R$222+(((($F$164*(1+$D248)*$F$167-$F$172)/$F$163)-$K$167)*$R$216*(1-$K$170))-((F$247-$F$176)*$F$169*(1+5*$F$177*(1-$F$36)))))/(($F$164*(1+$D248)*$F$167*$F$168)*(1+$K$168)+$E$202-(F$247*$F$169)-$E$195)</f>
        <v/>
      </c>
      <c r="L248" s="90">
        <f>+(($R$222+(((($F$164*(1+$D248)*$F$167-$F$172)/$F$163)-$K$167)*$R$216*(1-$K$170))-((G$247-$F$176)*$F$169*(1+5*$F$177*(1-$F$36)))))/(($F$164*(1+$D248)*$F$167*$F$168)*(1+$K$168)+$E$202-(G$247*$F$169)-$E$195)</f>
        <v/>
      </c>
      <c r="N248" s="22" t="inlineStr">
        <is>
          <t>2. Newco equity ownership sums to 100%</t>
        </is>
      </c>
      <c r="Q248" s="91">
        <f>+F209-1</f>
        <v/>
      </c>
      <c r="R248" s="87">
        <f>IF(ABS(Q248)&lt;0.0001,"OK","CHECK")</f>
        <v/>
      </c>
    </row>
    <row r="249">
      <c r="D249" s="88" t="n">
        <v>0.2</v>
      </c>
      <c r="E249" s="89">
        <f>+(J249)^(365/($R$232-$M$232))-1</f>
        <v/>
      </c>
      <c r="F249" s="92">
        <f>+(K249)^(365/($R$232-$M$232))-1</f>
        <v/>
      </c>
      <c r="G249" s="89">
        <f>+(L249)^(365/($R$232-$M$232))-1</f>
        <v/>
      </c>
      <c r="J249" s="90">
        <f>+(($R$222+(((($F$164*(1+$D249)*$F$167-$F$172)/$F$163)-$K$167)*$R$216*(1-$K$170))-((E$247-$F$176)*$F$169*(1+5*$F$177*(1-$F$36)))))/(($F$164*(1+$D249)*$F$167*$F$168)*(1+$K$168)+$E$202-(E$247*$F$169)-$E$195)</f>
        <v/>
      </c>
      <c r="K249" s="93">
        <f>+(($R$222+(((($F$164*(1+$D249)*$F$167-$F$172)/$F$163)-$K$167)*$R$216*(1-$K$170))-((F$247-$F$176)*$F$169*(1+5*$F$177*(1-$F$36)))))/(($F$164*(1+$D249)*$F$167*$F$168)*(1+$K$168)+$E$202-(F$247*$F$169)-$E$195)</f>
        <v/>
      </c>
      <c r="L249" s="90">
        <f>+(($R$222+(((($F$164*(1+$D249)*$F$167-$F$172)/$F$163)-$K$167)*$R$216*(1-$K$170))-((G$247-$F$176)*$F$169*(1+5*$F$177*(1-$F$36)))))/(($F$164*(1+$D249)*$F$167*$F$168)*(1+$K$168)+$E$202-(G$247*$F$169)-$E$195)</f>
        <v/>
      </c>
      <c r="N249" s="22" t="inlineStr">
        <is>
          <t>3. Minimum cash floor respected (all yrs)</t>
        </is>
      </c>
      <c r="Q249" s="35">
        <f>+MIN(M157:R157)-F171*F168</f>
        <v/>
      </c>
      <c r="R249" s="87">
        <f>IF(Q249&gt;=-0.01,"OK","CHECK")</f>
        <v/>
      </c>
    </row>
    <row r="250">
      <c r="D250" s="88" t="n">
        <v>0.3</v>
      </c>
      <c r="E250" s="89">
        <f>+(J250)^(365/($R$232-$M$232))-1</f>
        <v/>
      </c>
      <c r="F250" s="89">
        <f>+(K250)^(365/($R$232-$M$232))-1</f>
        <v/>
      </c>
      <c r="G250" s="89">
        <f>+(L250)^(365/($R$232-$M$232))-1</f>
        <v/>
      </c>
      <c r="J250" s="90">
        <f>+(($R$222+(((($F$164*(1+$D250)*$F$167-$F$172)/$F$163)-$K$167)*$R$216*(1-$K$170))-((E$247-$F$176)*$F$169*(1+5*$F$177*(1-$F$36)))))/(($F$164*(1+$D250)*$F$167*$F$168)*(1+$K$168)+$E$202-(E$247*$F$169)-$E$195)</f>
        <v/>
      </c>
      <c r="K250" s="90">
        <f>+(($R$222+(((($F$164*(1+$D250)*$F$167-$F$172)/$F$163)-$K$167)*$R$216*(1-$K$170))-((F$247-$F$176)*$F$169*(1+5*$F$177*(1-$F$36)))))/(($F$164*(1+$D250)*$F$167*$F$168)*(1+$K$168)+$E$202-(F$247*$F$169)-$E$195)</f>
        <v/>
      </c>
      <c r="L250" s="90">
        <f>+(($R$222+(((($F$164*(1+$D250)*$F$167-$F$172)/$F$163)-$K$167)*$R$216*(1-$K$170))-((G$247-$F$176)*$F$169*(1+5*$F$177*(1-$F$36)))))/(($F$164*(1+$D250)*$F$167*$F$168)*(1+$K$168)+$E$202-(G$247*$F$169)-$E$195)</f>
        <v/>
      </c>
      <c r="N250" s="22" t="inlineStr">
        <is>
          <t>4. Non-negative debt balances (all yrs)</t>
        </is>
      </c>
      <c r="Q250" s="35">
        <f>+MIN(M82:R82,M92:R92,M101:R101,M110:R110,M117:R117)</f>
        <v/>
      </c>
      <c r="R250" s="87">
        <f>IF(Q250&gt;=-0.01,"OK","CHECK")</f>
        <v/>
      </c>
    </row>
    <row r="251">
      <c r="N251" s="22" t="inlineStr">
        <is>
          <t>5. TLA scheduled repayment ≤ 100% (30% balloon at exit)</t>
        </is>
      </c>
      <c r="Q251" s="91">
        <f>+T83</f>
        <v/>
      </c>
      <c r="R251" s="87">
        <f>IF(Q251&lt;=0.0001,"OK","CHECK")</f>
        <v/>
      </c>
    </row>
    <row r="252">
      <c r="N252" s="22" t="inlineStr">
        <is>
          <t>6. P&amp;L D&amp;A reconciled to Capex schedule</t>
        </is>
      </c>
      <c r="Q252" s="35">
        <f>+MAX(ABS(N31-N56),ABS(R31-R56))</f>
        <v/>
      </c>
      <c r="R252" s="87">
        <f>IF(Q252&lt;0.01,"OK","CHECK")</f>
        <v/>
      </c>
    </row>
    <row r="253">
      <c r="N253" s="22" t="inlineStr">
        <is>
          <t>7. DSCR ≥ 1.20x (all yrs)</t>
        </is>
      </c>
      <c r="Q253" s="95">
        <f>+MIN(N136:R136)</f>
        <v/>
      </c>
      <c r="R253" s="87">
        <f>IF(Q253&gt;=1.2,"OK","CHECK")</f>
        <v/>
      </c>
    </row>
    <row r="254">
      <c r="N254" s="22" t="inlineStr">
        <is>
          <t>8. Senior debt at close &lt; 4.0x (Borja)</t>
        </is>
      </c>
      <c r="Q254" s="95">
        <f>+(E190+E191)/F169</f>
        <v/>
      </c>
      <c r="R254" s="87">
        <f>IF(Q254&lt;=4.0001,"OK","CHECK")</f>
        <v/>
      </c>
    </row>
  </sheetData>
  <mergeCells count="2">
    <mergeCell ref="U19:U20"/>
    <mergeCell ref="V19:V20"/>
  </mergeCells>
  <dataValidations count="3">
    <dataValidation sqref="F9" showDropDown="0" showInputMessage="0" showErrorMessage="0" allowBlank="0" type="list">
      <formula1>"1,2,3"</formula1>
      <formula2>0</formula2>
    </dataValidation>
    <dataValidation sqref="K166" showDropDown="0" showInputMessage="0" showErrorMessage="0" allowBlank="0" type="list">
      <formula1>"2026,2027,2028,2029,2030"</formula1>
      <formula2>0</formula2>
    </dataValidation>
    <dataValidation sqref="I180:I181" showDropDown="0" showInputMessage="0" showErrorMessage="0" allowBlank="0" type="list">
      <formula1>"0,1"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T52"/>
  <sheetViews>
    <sheetView workbookViewId="0">
      <selection activeCell="A1" sqref="A1"/>
    </sheetView>
  </sheetViews>
  <sheetFormatPr baseColWidth="8" defaultRowHeight="15"/>
  <cols>
    <col width="44" customWidth="1" min="4" max="4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B1" s="126" t="inlineStr">
        <is>
          <t>Business plan año a año (simulación de Monte Carlo, 20.000 caminos)</t>
        </is>
      </c>
    </row>
    <row r="2">
      <c r="B2" t="inlineStr">
        <is>
          <t>Cada caso es la mediana, año a año, de los drivers de los caminos cuyo EBITDA 2030 cae en su percentil (Bull P80, Base P50, Bear P20, Bank case P10). Fuente: carpeta Business Plan/ del repositorio.</t>
        </is>
      </c>
    </row>
    <row r="4">
      <c r="D4" s="127" t="inlineStr">
        <is>
          <t>1. Base (P50)</t>
        </is>
      </c>
      <c r="N4" s="103" t="n">
        <v>2026</v>
      </c>
      <c r="O4" s="103" t="n">
        <v>2027</v>
      </c>
      <c r="P4" s="103" t="n">
        <v>2028</v>
      </c>
      <c r="Q4" s="103" t="n">
        <v>2029</v>
      </c>
      <c r="R4" s="103" t="n">
        <v>2030</v>
      </c>
    </row>
    <row r="5">
      <c r="D5" t="inlineStr">
        <is>
          <t>Revenue growth (% YoY)</t>
        </is>
      </c>
      <c r="N5" s="128" t="n">
        <v>0.04321552517681582</v>
      </c>
      <c r="O5" s="128" t="n">
        <v>0.03574391594638038</v>
      </c>
      <c r="P5" s="128" t="n">
        <v>0.03301287234648131</v>
      </c>
      <c r="Q5" s="128" t="n">
        <v>0.03744865803284358</v>
      </c>
      <c r="R5" s="128" t="n">
        <v>0.03682793088640834</v>
      </c>
    </row>
    <row r="6">
      <c r="D6" t="inlineStr">
        <is>
          <t>Gross margin (% of revenues)</t>
        </is>
      </c>
      <c r="N6" s="128" t="n">
        <v>0.5818071179722863</v>
      </c>
      <c r="O6" s="128" t="n">
        <v>0.5810610921268574</v>
      </c>
      <c r="P6" s="128" t="n">
        <v>0.5802309507801672</v>
      </c>
      <c r="Q6" s="128" t="n">
        <v>0.5800757162244583</v>
      </c>
      <c r="R6" s="128" t="n">
        <v>0.5801915627429959</v>
      </c>
    </row>
    <row r="7">
      <c r="D7" t="inlineStr">
        <is>
          <t>OpEx growth (% YoY)</t>
        </is>
      </c>
      <c r="N7" s="128" t="n">
        <v>0.04750403385693058</v>
      </c>
      <c r="O7" s="128" t="n">
        <v>0.03954913256100845</v>
      </c>
      <c r="P7" s="128" t="n">
        <v>0.03508202277389438</v>
      </c>
      <c r="Q7" s="128" t="n">
        <v>0.03684553701483706</v>
      </c>
      <c r="R7" s="128" t="n">
        <v>0.03673637098700411</v>
      </c>
    </row>
    <row r="8">
      <c r="D8" t="inlineStr">
        <is>
          <t>Fixed lease cash outflow growth (%)</t>
        </is>
      </c>
      <c r="N8" s="128" t="n">
        <v>0.03837863062330737</v>
      </c>
      <c r="O8" s="128" t="n">
        <v>0.03836039707721595</v>
      </c>
      <c r="P8" s="128" t="n">
        <v>0.03812097459167063</v>
      </c>
      <c r="Q8" s="128" t="n">
        <v>0.03816782560196641</v>
      </c>
      <c r="R8" s="128" t="n">
        <v>0.03810416150386886</v>
      </c>
    </row>
    <row r="9">
      <c r="D9" t="inlineStr">
        <is>
          <t>Capex (% of revenues)</t>
        </is>
      </c>
      <c r="N9" s="128" t="n">
        <v>0.05507867420988613</v>
      </c>
      <c r="O9" s="128" t="n">
        <v>0.04833062258546802</v>
      </c>
      <c r="P9" s="128" t="n">
        <v>0.0483079699363724</v>
      </c>
      <c r="Q9" s="128" t="n">
        <v>0.0483570816337154</v>
      </c>
      <c r="R9" s="128" t="n">
        <v>0.04830039496623677</v>
      </c>
    </row>
    <row r="10">
      <c r="D10" t="inlineStr">
        <is>
          <t>Inventory (% of revenues)</t>
        </is>
      </c>
      <c r="N10" s="128" t="n">
        <v>0.08393317066782617</v>
      </c>
      <c r="O10" s="128" t="n">
        <v>0.08361975491398421</v>
      </c>
      <c r="P10" s="128" t="n">
        <v>0.08387569181371818</v>
      </c>
      <c r="Q10" s="128" t="n">
        <v>0.08379299134580853</v>
      </c>
      <c r="R10" s="128" t="n">
        <v>0.08348945244274797</v>
      </c>
    </row>
    <row r="11">
      <c r="D11" t="inlineStr">
        <is>
          <t>Receivables (% of revenues)</t>
        </is>
      </c>
      <c r="N11" s="128" t="n">
        <v>0.02879843325354241</v>
      </c>
      <c r="O11" s="128" t="n">
        <v>0.02877575179614395</v>
      </c>
      <c r="P11" s="128" t="n">
        <v>0.02874894816063151</v>
      </c>
      <c r="Q11" s="128" t="n">
        <v>0.02871138351614234</v>
      </c>
      <c r="R11" s="128" t="n">
        <v>0.02876758264075656</v>
      </c>
    </row>
    <row r="12">
      <c r="D12" t="inlineStr">
        <is>
          <t>Payables (% of revenues, negative)</t>
        </is>
      </c>
      <c r="N12" s="128" t="n">
        <v>-0.2153674259089293</v>
      </c>
      <c r="O12" s="128" t="n">
        <v>-0.2155002221702386</v>
      </c>
      <c r="P12" s="128" t="n">
        <v>-0.2150721331906414</v>
      </c>
      <c r="Q12" s="128" t="n">
        <v>-0.2149572527180224</v>
      </c>
      <c r="R12" s="128" t="n">
        <v>-0.2150922921307271</v>
      </c>
    </row>
    <row r="15">
      <c r="D15" s="127" t="inlineStr">
        <is>
          <t>2. Bull (P80)</t>
        </is>
      </c>
      <c r="N15" s="103" t="n">
        <v>2026</v>
      </c>
      <c r="O15" s="103" t="n">
        <v>2027</v>
      </c>
      <c r="P15" s="103" t="n">
        <v>2028</v>
      </c>
      <c r="Q15" s="103" t="n">
        <v>2029</v>
      </c>
      <c r="R15" s="103" t="n">
        <v>2030</v>
      </c>
    </row>
    <row r="16">
      <c r="D16" t="inlineStr">
        <is>
          <t>Revenue growth (% YoY)</t>
        </is>
      </c>
      <c r="N16" s="128" t="n">
        <v>0.05695300344529275</v>
      </c>
      <c r="O16" s="128" t="n">
        <v>0.04839511458702284</v>
      </c>
      <c r="P16" s="128" t="n">
        <v>0.05199177826585233</v>
      </c>
      <c r="Q16" s="128" t="n">
        <v>0.05145547607895717</v>
      </c>
      <c r="R16" s="128" t="n">
        <v>0.05332724374836506</v>
      </c>
    </row>
    <row r="17">
      <c r="D17" t="inlineStr">
        <is>
          <t>Gross margin (% of revenues)</t>
        </is>
      </c>
      <c r="N17" s="128" t="n">
        <v>0.583016904702726</v>
      </c>
      <c r="O17" s="128" t="n">
        <v>0.5834630775944272</v>
      </c>
      <c r="P17" s="128" t="n">
        <v>0.5847163635336043</v>
      </c>
      <c r="Q17" s="128" t="n">
        <v>0.5857418096483262</v>
      </c>
      <c r="R17" s="128" t="n">
        <v>0.5865806182520964</v>
      </c>
    </row>
    <row r="18">
      <c r="D18" t="inlineStr">
        <is>
          <t>OpEx growth (% YoY)</t>
        </is>
      </c>
      <c r="N18" s="128" t="n">
        <v>0.06067039802475427</v>
      </c>
      <c r="O18" s="128" t="n">
        <v>0.05158205940185345</v>
      </c>
      <c r="P18" s="128" t="n">
        <v>0.05372877234248863</v>
      </c>
      <c r="Q18" s="128" t="n">
        <v>0.05423892409930242</v>
      </c>
      <c r="R18" s="128" t="n">
        <v>0.05319411553199505</v>
      </c>
    </row>
    <row r="19">
      <c r="D19" t="inlineStr">
        <is>
          <t>Fixed lease cash outflow growth (%)</t>
        </is>
      </c>
      <c r="N19" s="128" t="n">
        <v>0.03890222812787369</v>
      </c>
      <c r="O19" s="128" t="n">
        <v>0.03931006204410592</v>
      </c>
      <c r="P19" s="128" t="n">
        <v>0.03929604694945088</v>
      </c>
      <c r="Q19" s="128" t="n">
        <v>0.03955137482044302</v>
      </c>
      <c r="R19" s="128" t="n">
        <v>0.03895805893900584</v>
      </c>
    </row>
    <row r="20">
      <c r="D20" t="inlineStr">
        <is>
          <t>Capex (% of revenues)</t>
        </is>
      </c>
      <c r="N20" s="128" t="n">
        <v>0.05507867420988613</v>
      </c>
      <c r="O20" s="128" t="n">
        <v>0.04838817871330336</v>
      </c>
      <c r="P20" s="128" t="n">
        <v>0.04823679270379939</v>
      </c>
      <c r="Q20" s="128" t="n">
        <v>0.04849624308006954</v>
      </c>
      <c r="R20" s="128" t="n">
        <v>0.04855345727171372</v>
      </c>
    </row>
    <row r="21">
      <c r="D21" t="inlineStr">
        <is>
          <t>Inventory (% of revenues)</t>
        </is>
      </c>
      <c r="N21" s="128" t="n">
        <v>0.08384893933091103</v>
      </c>
      <c r="O21" s="128" t="n">
        <v>0.083663047304983</v>
      </c>
      <c r="P21" s="128" t="n">
        <v>0.08374408884828356</v>
      </c>
      <c r="Q21" s="128" t="n">
        <v>0.08360450306728687</v>
      </c>
      <c r="R21" s="128" t="n">
        <v>0.08338828057580581</v>
      </c>
    </row>
    <row r="22">
      <c r="D22" t="inlineStr">
        <is>
          <t>Receivables (% of revenues)</t>
        </is>
      </c>
      <c r="N22" s="128" t="n">
        <v>0.02878870745725759</v>
      </c>
      <c r="O22" s="128" t="n">
        <v>0.02879613577053799</v>
      </c>
      <c r="P22" s="128" t="n">
        <v>0.02879544377430415</v>
      </c>
      <c r="Q22" s="128" t="n">
        <v>0.02878068804985771</v>
      </c>
      <c r="R22" s="128" t="n">
        <v>0.02874612272016327</v>
      </c>
    </row>
    <row r="23">
      <c r="D23" t="inlineStr">
        <is>
          <t>Payables (% of revenues, negative)</t>
        </is>
      </c>
      <c r="N23" s="128" t="n">
        <v>-0.215090089757338</v>
      </c>
      <c r="O23" s="128" t="n">
        <v>-0.215248804734277</v>
      </c>
      <c r="P23" s="128" t="n">
        <v>-0.2151866298044081</v>
      </c>
      <c r="Q23" s="128" t="n">
        <v>-0.2153108545539256</v>
      </c>
      <c r="R23" s="128" t="n">
        <v>-0.215256148793217</v>
      </c>
    </row>
    <row r="26">
      <c r="D26" s="127" t="inlineStr">
        <is>
          <t>3. Bear (P20)</t>
        </is>
      </c>
      <c r="N26" s="103" t="n">
        <v>2026</v>
      </c>
      <c r="O26" s="103" t="n">
        <v>2027</v>
      </c>
      <c r="P26" s="103" t="n">
        <v>2028</v>
      </c>
      <c r="Q26" s="103" t="n">
        <v>2029</v>
      </c>
      <c r="R26" s="103" t="n">
        <v>2030</v>
      </c>
    </row>
    <row r="27">
      <c r="D27" t="inlineStr">
        <is>
          <t>Revenue growth (% YoY)</t>
        </is>
      </c>
      <c r="N27" s="128" t="n">
        <v>0.03067673884177702</v>
      </c>
      <c r="O27" s="128" t="n">
        <v>0.01889575898503781</v>
      </c>
      <c r="P27" s="128" t="n">
        <v>0.02223227363748714</v>
      </c>
      <c r="Q27" s="128" t="n">
        <v>0.01993889957644612</v>
      </c>
      <c r="R27" s="128" t="n">
        <v>0.01993196790132978</v>
      </c>
    </row>
    <row r="28">
      <c r="D28" t="inlineStr">
        <is>
          <t>Gross margin (% of revenues)</t>
        </is>
      </c>
      <c r="N28" s="128" t="n">
        <v>0.5799445888901342</v>
      </c>
      <c r="O28" s="128" t="n">
        <v>0.5779145919138347</v>
      </c>
      <c r="P28" s="128" t="n">
        <v>0.5762995049246856</v>
      </c>
      <c r="Q28" s="128" t="n">
        <v>0.5738247902274591</v>
      </c>
      <c r="R28" s="128" t="n">
        <v>0.5720133780724319</v>
      </c>
    </row>
    <row r="29">
      <c r="D29" t="inlineStr">
        <is>
          <t>OpEx growth (% YoY)</t>
        </is>
      </c>
      <c r="N29" s="128" t="n">
        <v>0.03565923746420419</v>
      </c>
      <c r="O29" s="128" t="n">
        <v>0.02181323026987148</v>
      </c>
      <c r="P29" s="128" t="n">
        <v>0.02215508117909537</v>
      </c>
      <c r="Q29" s="128" t="n">
        <v>0.01926610023372977</v>
      </c>
      <c r="R29" s="128" t="n">
        <v>0.0189912738163085</v>
      </c>
    </row>
    <row r="30">
      <c r="D30" t="inlineStr">
        <is>
          <t>Fixed lease cash outflow growth (%)</t>
        </is>
      </c>
      <c r="N30" s="128" t="n">
        <v>0.03794732744191465</v>
      </c>
      <c r="O30" s="128" t="n">
        <v>0.03739402790142854</v>
      </c>
      <c r="P30" s="128" t="n">
        <v>0.03710472995723613</v>
      </c>
      <c r="Q30" s="128" t="n">
        <v>0.03765046748545187</v>
      </c>
      <c r="R30" s="128" t="n">
        <v>0.0377573472349062</v>
      </c>
    </row>
    <row r="31">
      <c r="D31" t="inlineStr">
        <is>
          <t>Capex (% of revenues)</t>
        </is>
      </c>
      <c r="N31" s="128" t="n">
        <v>0.05507867420988613</v>
      </c>
      <c r="O31" s="128" t="n">
        <v>0.0486536073649506</v>
      </c>
      <c r="P31" s="128" t="n">
        <v>0.04840343519937429</v>
      </c>
      <c r="Q31" s="128" t="n">
        <v>0.0481766001717745</v>
      </c>
      <c r="R31" s="128" t="n">
        <v>0.04834857928022913</v>
      </c>
    </row>
    <row r="32">
      <c r="D32" t="inlineStr">
        <is>
          <t>Inventory (% of revenues)</t>
        </is>
      </c>
      <c r="N32" s="128" t="n">
        <v>0.08337480135242173</v>
      </c>
      <c r="O32" s="128" t="n">
        <v>0.08362361904651068</v>
      </c>
      <c r="P32" s="128" t="n">
        <v>0.08360745123623814</v>
      </c>
      <c r="Q32" s="128" t="n">
        <v>0.08381155162892043</v>
      </c>
      <c r="R32" s="128" t="n">
        <v>0.08335285425370367</v>
      </c>
    </row>
    <row r="33">
      <c r="D33" t="inlineStr">
        <is>
          <t>Receivables (% of revenues)</t>
        </is>
      </c>
      <c r="N33" s="128" t="n">
        <v>0.0287993933493586</v>
      </c>
      <c r="O33" s="128" t="n">
        <v>0.02877834373427199</v>
      </c>
      <c r="P33" s="128" t="n">
        <v>0.02877534994121541</v>
      </c>
      <c r="Q33" s="128" t="n">
        <v>0.02878963817143419</v>
      </c>
      <c r="R33" s="128" t="n">
        <v>0.02883522468051371</v>
      </c>
    </row>
    <row r="34">
      <c r="D34" t="inlineStr">
        <is>
          <t>Payables (% of revenues, negative)</t>
        </is>
      </c>
      <c r="N34" s="128" t="n">
        <v>-0.2153094649172595</v>
      </c>
      <c r="O34" s="128" t="n">
        <v>-0.2151233605350092</v>
      </c>
      <c r="P34" s="128" t="n">
        <v>-0.2152324159996064</v>
      </c>
      <c r="Q34" s="128" t="n">
        <v>-0.2151168725522866</v>
      </c>
      <c r="R34" s="128" t="n">
        <v>-0.2154520530301643</v>
      </c>
    </row>
    <row r="37">
      <c r="D37" s="127" t="inlineStr">
        <is>
          <t>4. Bank case (P10)</t>
        </is>
      </c>
      <c r="N37" s="103" t="n">
        <v>2026</v>
      </c>
      <c r="O37" s="103" t="n">
        <v>2027</v>
      </c>
      <c r="P37" s="103" t="n">
        <v>2028</v>
      </c>
      <c r="Q37" s="103" t="n">
        <v>2029</v>
      </c>
      <c r="R37" s="103" t="n">
        <v>2030</v>
      </c>
    </row>
    <row r="38">
      <c r="D38" t="inlineStr">
        <is>
          <t>Revenue growth (% YoY)</t>
        </is>
      </c>
      <c r="N38" s="128" t="n">
        <v>0.02139660067379279</v>
      </c>
      <c r="O38" s="128" t="n">
        <v>0.01292107630217298</v>
      </c>
      <c r="P38" s="128" t="n">
        <v>0.01370376673429674</v>
      </c>
      <c r="Q38" s="128" t="n">
        <v>0.01039597773419665</v>
      </c>
      <c r="R38" s="128" t="n">
        <v>0.007142584294633547</v>
      </c>
    </row>
    <row r="39">
      <c r="D39" t="inlineStr">
        <is>
          <t>Gross margin (% of revenues)</t>
        </is>
      </c>
      <c r="N39" s="128" t="n">
        <v>0.5802116276434731</v>
      </c>
      <c r="O39" s="128" t="n">
        <v>0.5772305677568139</v>
      </c>
      <c r="P39" s="128" t="n">
        <v>0.5740422706633607</v>
      </c>
      <c r="Q39" s="128" t="n">
        <v>0.5709674816520905</v>
      </c>
      <c r="R39" s="128" t="n">
        <v>0.5685633845031833</v>
      </c>
    </row>
    <row r="40">
      <c r="D40" t="inlineStr">
        <is>
          <t>OpEx growth (% YoY)</t>
        </is>
      </c>
      <c r="N40" s="128" t="n">
        <v>0.02695512642015707</v>
      </c>
      <c r="O40" s="128" t="n">
        <v>0.01615318981929947</v>
      </c>
      <c r="P40" s="128" t="n">
        <v>0.01286474689323391</v>
      </c>
      <c r="Q40" s="128" t="n">
        <v>0.009302629330509848</v>
      </c>
      <c r="R40" s="128" t="n">
        <v>0.006867756916530965</v>
      </c>
    </row>
    <row r="41">
      <c r="D41" t="inlineStr">
        <is>
          <t>Fixed lease cash outflow growth (%)</t>
        </is>
      </c>
      <c r="N41" s="128" t="n">
        <v>0.03674427671250224</v>
      </c>
      <c r="O41" s="128" t="n">
        <v>0.03692736880398573</v>
      </c>
      <c r="P41" s="128" t="n">
        <v>0.03701282146796514</v>
      </c>
      <c r="Q41" s="128" t="n">
        <v>0.03694896421351535</v>
      </c>
      <c r="R41" s="128" t="n">
        <v>0.0369713470225661</v>
      </c>
    </row>
    <row r="42">
      <c r="D42" t="inlineStr">
        <is>
          <t>Capex (% of revenues)</t>
        </is>
      </c>
      <c r="N42" s="128" t="n">
        <v>0.05507867420988613</v>
      </c>
      <c r="O42" s="128" t="n">
        <v>0.04865998030338529</v>
      </c>
      <c r="P42" s="128" t="n">
        <v>0.04856714391178969</v>
      </c>
      <c r="Q42" s="128" t="n">
        <v>0.04807611278038477</v>
      </c>
      <c r="R42" s="128" t="n">
        <v>0.04875126164772868</v>
      </c>
    </row>
    <row r="43">
      <c r="D43" t="inlineStr">
        <is>
          <t>Inventory (% of revenues)</t>
        </is>
      </c>
      <c r="N43" s="128" t="n">
        <v>0.08383817849975048</v>
      </c>
      <c r="O43" s="128" t="n">
        <v>0.08376483132649273</v>
      </c>
      <c r="P43" s="128" t="n">
        <v>0.08357645525903332</v>
      </c>
      <c r="Q43" s="128" t="n">
        <v>0.08350731425025212</v>
      </c>
      <c r="R43" s="128" t="n">
        <v>0.08380330992200874</v>
      </c>
    </row>
    <row r="44">
      <c r="D44" t="inlineStr">
        <is>
          <t>Receivables (% of revenues)</t>
        </is>
      </c>
      <c r="N44" s="128" t="n">
        <v>0.02874321803497622</v>
      </c>
      <c r="O44" s="128" t="n">
        <v>0.02881539427268985</v>
      </c>
      <c r="P44" s="128" t="n">
        <v>0.02876380697751251</v>
      </c>
      <c r="Q44" s="128" t="n">
        <v>0.02872119848681486</v>
      </c>
      <c r="R44" s="128" t="n">
        <v>0.02872031511494987</v>
      </c>
    </row>
    <row r="45">
      <c r="D45" t="inlineStr">
        <is>
          <t>Payables (% of revenues, negative)</t>
        </is>
      </c>
      <c r="N45" s="128" t="n">
        <v>-0.2149288083446095</v>
      </c>
      <c r="O45" s="128" t="n">
        <v>-0.2148195343253544</v>
      </c>
      <c r="P45" s="128" t="n">
        <v>-0.2151889457797683</v>
      </c>
      <c r="Q45" s="128" t="n">
        <v>-0.2150692816577442</v>
      </c>
      <c r="R45" s="128" t="n">
        <v>-0.2148051911275276</v>
      </c>
    </row>
    <row r="48">
      <c r="D48" s="127" t="inlineStr">
        <is>
          <t>Control: resultados esperados (motor Python, mismas fórmulas)</t>
        </is>
      </c>
      <c r="N48" s="103" t="inlineStr">
        <is>
          <t>TIR sponsor</t>
        </is>
      </c>
      <c r="O48" s="103" t="inlineStr">
        <is>
          <t>MoM</t>
        </is>
      </c>
      <c r="P48" s="103" t="inlineStr">
        <is>
          <t>DSCR mínimo</t>
        </is>
      </c>
      <c r="Q48" s="103" t="inlineStr">
        <is>
          <t>EBITDA pre-IFRS 16 2030</t>
        </is>
      </c>
      <c r="R48" s="103" t="inlineStr">
        <is>
          <t>Deuda senior neta / EBITDA 2030</t>
        </is>
      </c>
      <c r="S48" s="103" t="inlineStr">
        <is>
          <t>Capex acumulado 2026-30</t>
        </is>
      </c>
      <c r="T48" s="103" t="inlineStr">
        <is>
          <t>Cheque del sponsor</t>
        </is>
      </c>
    </row>
    <row r="49">
      <c r="D49" t="inlineStr">
        <is>
          <t>1. Base</t>
        </is>
      </c>
      <c r="N49" s="129" t="n">
        <v>0.05172465877886656</v>
      </c>
      <c r="O49" s="106" t="n">
        <v>1.286975526332782</v>
      </c>
      <c r="P49" s="106" t="n">
        <v>1.173258609078728</v>
      </c>
      <c r="Q49" s="130" t="n">
        <v>11071.82905725827</v>
      </c>
      <c r="R49" s="106" t="n">
        <v>1.344028144163225</v>
      </c>
      <c r="S49" s="130" t="n">
        <v>11065.73389937652</v>
      </c>
      <c r="T49" s="130" t="n">
        <v>75214.04207558624</v>
      </c>
    </row>
    <row r="50">
      <c r="D50" t="inlineStr">
        <is>
          <t>2. Bull</t>
        </is>
      </c>
      <c r="N50" s="129" t="n">
        <v>0.08542217663993823</v>
      </c>
      <c r="O50" s="106" t="n">
        <v>1.506922729086276</v>
      </c>
      <c r="P50" s="106" t="n">
        <v>1.347895953091397</v>
      </c>
      <c r="Q50" s="130" t="n">
        <v>12365.78656959484</v>
      </c>
      <c r="R50" s="106" t="n">
        <v>0.9393876512869935</v>
      </c>
      <c r="S50" s="130" t="n">
        <v>11568.23391701609</v>
      </c>
      <c r="T50" s="130" t="n">
        <v>75214.04207558624</v>
      </c>
    </row>
    <row r="51">
      <c r="D51" t="inlineStr">
        <is>
          <t>3. Bear</t>
        </is>
      </c>
      <c r="N51" s="129" t="n">
        <v>0.01475877345840859</v>
      </c>
      <c r="O51" s="106" t="n">
        <v>1.076047658092394</v>
      </c>
      <c r="P51" s="106" t="n">
        <v>1.011129078888913</v>
      </c>
      <c r="Q51" s="130" t="n">
        <v>9827.905248802635</v>
      </c>
      <c r="R51" s="106" t="n">
        <v>1.826317381612564</v>
      </c>
      <c r="S51" s="130" t="n">
        <v>10626.30677019239</v>
      </c>
      <c r="T51" s="130" t="n">
        <v>75214.04207558624</v>
      </c>
    </row>
    <row r="52">
      <c r="D52" t="inlineStr">
        <is>
          <t>4. Bank case</t>
        </is>
      </c>
      <c r="N52" s="129" t="n">
        <v>-0.007936053328348514</v>
      </c>
      <c r="O52" s="106" t="n">
        <v>0.9609235878201693</v>
      </c>
      <c r="P52" s="106" t="n">
        <v>0.9131103181416679</v>
      </c>
      <c r="Q52" s="130" t="n">
        <v>9149.602723048916</v>
      </c>
      <c r="R52" s="106" t="n">
        <v>2.146150084873571</v>
      </c>
      <c r="S52" s="130" t="n">
        <v>10385.00642048375</v>
      </c>
      <c r="T52" s="130" t="n">
        <v>75214.04207558624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75"/>
  <sheetViews>
    <sheetView workbookViewId="0">
      <selection activeCell="A1" sqref="A1"/>
    </sheetView>
  </sheetViews>
  <sheetFormatPr baseColWidth="8" defaultRowHeight="15"/>
  <cols>
    <col width="2" customWidth="1" min="1" max="1"/>
    <col width="6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B1" s="126" t="inlineStr">
        <is>
          <t>Cálculo de las palancas (no tocar: se alimenta de la hoja Palancas)</t>
        </is>
      </c>
    </row>
    <row r="3">
      <c r="C3" s="103" t="n">
        <v>2025</v>
      </c>
      <c r="D3" s="103" t="n">
        <v>2026</v>
      </c>
      <c r="E3" s="103" t="n">
        <v>2027</v>
      </c>
      <c r="F3" s="103" t="n">
        <v>2028</v>
      </c>
      <c r="G3" s="103" t="n">
        <v>2029</v>
      </c>
      <c r="H3" s="103" t="n">
        <v>2030</v>
      </c>
    </row>
    <row r="4">
      <c r="B4" s="127" t="inlineStr">
        <is>
          <t>1. Drivers del caso seleccionado (sin palancas)</t>
        </is>
      </c>
    </row>
    <row r="5">
      <c r="B5" t="inlineStr">
        <is>
          <t>Crecimiento de ventas</t>
        </is>
      </c>
      <c r="D5" s="104">
        <f>IF(LBO_Rollover50!$F$18=1,CHOOSE(LBO_Rollover50!$F$9,Business_Plan!N5,Business_Plan!N16,Business_Plan!N27,Business_Plan!N38),LBO_Rollover50!$H$10)</f>
        <v/>
      </c>
      <c r="E5" s="104">
        <f>IF(LBO_Rollover50!$F$18=1,CHOOSE(LBO_Rollover50!$F$9,Business_Plan!O5,Business_Plan!O16,Business_Plan!O27,Business_Plan!O38),LBO_Rollover50!$H$10)</f>
        <v/>
      </c>
      <c r="F5" s="104">
        <f>IF(LBO_Rollover50!$F$18=1,CHOOSE(LBO_Rollover50!$F$9,Business_Plan!P5,Business_Plan!P16,Business_Plan!P27,Business_Plan!P38),LBO_Rollover50!$H$10)</f>
        <v/>
      </c>
      <c r="G5" s="104">
        <f>IF(LBO_Rollover50!$F$18=1,CHOOSE(LBO_Rollover50!$F$9,Business_Plan!Q5,Business_Plan!Q16,Business_Plan!Q27,Business_Plan!Q38),LBO_Rollover50!$H$10)</f>
        <v/>
      </c>
      <c r="H5" s="104">
        <f>IF(LBO_Rollover50!$F$18=1,CHOOSE(LBO_Rollover50!$F$9,Business_Plan!R5,Business_Plan!R16,Business_Plan!R27,Business_Plan!R38),LBO_Rollover50!$H$10)</f>
        <v/>
      </c>
    </row>
    <row r="6">
      <c r="B6" t="inlineStr">
        <is>
          <t>Margen bruto</t>
        </is>
      </c>
      <c r="D6" s="104">
        <f>IF(LBO_Rollover50!$F$18=1,CHOOSE(LBO_Rollover50!$F$9,Business_Plan!N6,Business_Plan!N17,Business_Plan!N28,Business_Plan!N39),LBO_Rollover50!$H$11)</f>
        <v/>
      </c>
      <c r="E6" s="104">
        <f>IF(LBO_Rollover50!$F$18=1,CHOOSE(LBO_Rollover50!$F$9,Business_Plan!O6,Business_Plan!O17,Business_Plan!O28,Business_Plan!O39),LBO_Rollover50!$H$11)</f>
        <v/>
      </c>
      <c r="F6" s="104">
        <f>IF(LBO_Rollover50!$F$18=1,CHOOSE(LBO_Rollover50!$F$9,Business_Plan!P6,Business_Plan!P17,Business_Plan!P28,Business_Plan!P39),LBO_Rollover50!$H$11)</f>
        <v/>
      </c>
      <c r="G6" s="104">
        <f>IF(LBO_Rollover50!$F$18=1,CHOOSE(LBO_Rollover50!$F$9,Business_Plan!Q6,Business_Plan!Q17,Business_Plan!Q28,Business_Plan!Q39),LBO_Rollover50!$H$11)</f>
        <v/>
      </c>
      <c r="H6" s="104">
        <f>IF(LBO_Rollover50!$F$18=1,CHOOSE(LBO_Rollover50!$F$9,Business_Plan!R6,Business_Plan!R17,Business_Plan!R28,Business_Plan!R39),LBO_Rollover50!$H$11)</f>
        <v/>
      </c>
    </row>
    <row r="7">
      <c r="B7" t="inlineStr">
        <is>
          <t>Crecimiento de gastos (sin alquileres fijos)</t>
        </is>
      </c>
      <c r="D7" s="104">
        <f>IF(LBO_Rollover50!$F$18=1,CHOOSE(LBO_Rollover50!$F$9,Business_Plan!N7,Business_Plan!N18,Business_Plan!N29,Business_Plan!N40),LBO_Rollover50!$H$12)</f>
        <v/>
      </c>
      <c r="E7" s="104">
        <f>IF(LBO_Rollover50!$F$18=1,CHOOSE(LBO_Rollover50!$F$9,Business_Plan!O7,Business_Plan!O18,Business_Plan!O29,Business_Plan!O40),LBO_Rollover50!$H$12)</f>
        <v/>
      </c>
      <c r="F7" s="104">
        <f>IF(LBO_Rollover50!$F$18=1,CHOOSE(LBO_Rollover50!$F$9,Business_Plan!P7,Business_Plan!P18,Business_Plan!P29,Business_Plan!P40),LBO_Rollover50!$H$12)</f>
        <v/>
      </c>
      <c r="G7" s="104">
        <f>IF(LBO_Rollover50!$F$18=1,CHOOSE(LBO_Rollover50!$F$9,Business_Plan!Q7,Business_Plan!Q18,Business_Plan!Q29,Business_Plan!Q40),LBO_Rollover50!$H$12)</f>
        <v/>
      </c>
      <c r="H7" s="104">
        <f>IF(LBO_Rollover50!$F$18=1,CHOOSE(LBO_Rollover50!$F$9,Business_Plan!R7,Business_Plan!R18,Business_Plan!R29,Business_Plan!R40),LBO_Rollover50!$H$12)</f>
        <v/>
      </c>
    </row>
    <row r="8">
      <c r="B8" t="inlineStr">
        <is>
          <t>Crecimiento de alquileres fijos</t>
        </is>
      </c>
      <c r="D8" s="104">
        <f>IF(LBO_Rollover50!$F$18=1,CHOOSE(LBO_Rollover50!$F$9,Business_Plan!N8,Business_Plan!N19,Business_Plan!N30,Business_Plan!N41),LBO_Rollover50!$H$13)</f>
        <v/>
      </c>
      <c r="E8" s="104">
        <f>IF(LBO_Rollover50!$F$18=1,CHOOSE(LBO_Rollover50!$F$9,Business_Plan!O8,Business_Plan!O19,Business_Plan!O30,Business_Plan!O41),LBO_Rollover50!$H$13)</f>
        <v/>
      </c>
      <c r="F8" s="104">
        <f>IF(LBO_Rollover50!$F$18=1,CHOOSE(LBO_Rollover50!$F$9,Business_Plan!P8,Business_Plan!P19,Business_Plan!P30,Business_Plan!P41),LBO_Rollover50!$H$13)</f>
        <v/>
      </c>
      <c r="G8" s="104">
        <f>IF(LBO_Rollover50!$F$18=1,CHOOSE(LBO_Rollover50!$F$9,Business_Plan!Q8,Business_Plan!Q19,Business_Plan!Q30,Business_Plan!Q41),LBO_Rollover50!$H$13)</f>
        <v/>
      </c>
      <c r="H8" s="104">
        <f>IF(LBO_Rollover50!$F$18=1,CHOOSE(LBO_Rollover50!$F$9,Business_Plan!R8,Business_Plan!R19,Business_Plan!R30,Business_Plan!R41),LBO_Rollover50!$H$13)</f>
        <v/>
      </c>
    </row>
    <row r="9">
      <c r="B9" t="inlineStr">
        <is>
          <t>Capex / ventas</t>
        </is>
      </c>
      <c r="D9" s="104">
        <f>IF(LBO_Rollover50!$F$18=1,CHOOSE(LBO_Rollover50!$F$9,Business_Plan!N9,Business_Plan!N20,Business_Plan!N31,Business_Plan!N42),LBO_Rollover50!$H$14)</f>
        <v/>
      </c>
      <c r="E9" s="104">
        <f>IF(LBO_Rollover50!$F$18=1,CHOOSE(LBO_Rollover50!$F$9,Business_Plan!O9,Business_Plan!O20,Business_Plan!O31,Business_Plan!O42),LBO_Rollover50!$H$14)</f>
        <v/>
      </c>
      <c r="F9" s="104">
        <f>IF(LBO_Rollover50!$F$18=1,CHOOSE(LBO_Rollover50!$F$9,Business_Plan!P9,Business_Plan!P20,Business_Plan!P31,Business_Plan!P42),LBO_Rollover50!$H$14)</f>
        <v/>
      </c>
      <c r="G9" s="104">
        <f>IF(LBO_Rollover50!$F$18=1,CHOOSE(LBO_Rollover50!$F$9,Business_Plan!Q9,Business_Plan!Q20,Business_Plan!Q31,Business_Plan!Q42),LBO_Rollover50!$H$14)</f>
        <v/>
      </c>
      <c r="H9" s="104">
        <f>IF(LBO_Rollover50!$F$18=1,CHOOSE(LBO_Rollover50!$F$9,Business_Plan!R9,Business_Plan!R20,Business_Plan!R31,Business_Plan!R42),LBO_Rollover50!$H$14)</f>
        <v/>
      </c>
    </row>
    <row r="10">
      <c r="B10" t="inlineStr">
        <is>
          <t>Existencias / ventas</t>
        </is>
      </c>
      <c r="D10" s="104">
        <f>IF(LBO_Rollover50!$F$18=1,CHOOSE(LBO_Rollover50!$F$9,Business_Plan!N10,Business_Plan!N21,Business_Plan!N32,Business_Plan!N43),LBO_Rollover50!$H$15)</f>
        <v/>
      </c>
      <c r="E10" s="104">
        <f>IF(LBO_Rollover50!$F$18=1,CHOOSE(LBO_Rollover50!$F$9,Business_Plan!O10,Business_Plan!O21,Business_Plan!O32,Business_Plan!O43),LBO_Rollover50!$H$15)</f>
        <v/>
      </c>
      <c r="F10" s="104">
        <f>IF(LBO_Rollover50!$F$18=1,CHOOSE(LBO_Rollover50!$F$9,Business_Plan!P10,Business_Plan!P21,Business_Plan!P32,Business_Plan!P43),LBO_Rollover50!$H$15)</f>
        <v/>
      </c>
      <c r="G10" s="104">
        <f>IF(LBO_Rollover50!$F$18=1,CHOOSE(LBO_Rollover50!$F$9,Business_Plan!Q10,Business_Plan!Q21,Business_Plan!Q32,Business_Plan!Q43),LBO_Rollover50!$H$15)</f>
        <v/>
      </c>
      <c r="H10" s="104">
        <f>IF(LBO_Rollover50!$F$18=1,CHOOSE(LBO_Rollover50!$F$9,Business_Plan!R10,Business_Plan!R21,Business_Plan!R32,Business_Plan!R43),LBO_Rollover50!$H$15)</f>
        <v/>
      </c>
    </row>
    <row r="11">
      <c r="B11" t="inlineStr">
        <is>
          <t>Clientes / ventas</t>
        </is>
      </c>
      <c r="D11" s="104">
        <f>IF(LBO_Rollover50!$F$18=1,CHOOSE(LBO_Rollover50!$F$9,Business_Plan!N11,Business_Plan!N22,Business_Plan!N33,Business_Plan!N44),LBO_Rollover50!$H$16)</f>
        <v/>
      </c>
      <c r="E11" s="104">
        <f>IF(LBO_Rollover50!$F$18=1,CHOOSE(LBO_Rollover50!$F$9,Business_Plan!O11,Business_Plan!O22,Business_Plan!O33,Business_Plan!O44),LBO_Rollover50!$H$16)</f>
        <v/>
      </c>
      <c r="F11" s="104">
        <f>IF(LBO_Rollover50!$F$18=1,CHOOSE(LBO_Rollover50!$F$9,Business_Plan!P11,Business_Plan!P22,Business_Plan!P33,Business_Plan!P44),LBO_Rollover50!$H$16)</f>
        <v/>
      </c>
      <c r="G11" s="104">
        <f>IF(LBO_Rollover50!$F$18=1,CHOOSE(LBO_Rollover50!$F$9,Business_Plan!Q11,Business_Plan!Q22,Business_Plan!Q33,Business_Plan!Q44),LBO_Rollover50!$H$16)</f>
        <v/>
      </c>
      <c r="H11" s="104">
        <f>IF(LBO_Rollover50!$F$18=1,CHOOSE(LBO_Rollover50!$F$9,Business_Plan!R11,Business_Plan!R22,Business_Plan!R33,Business_Plan!R44),LBO_Rollover50!$H$16)</f>
        <v/>
      </c>
    </row>
    <row r="12">
      <c r="B12" t="inlineStr">
        <is>
          <t>Proveedores / ventas</t>
        </is>
      </c>
      <c r="D12" s="104">
        <f>IF(LBO_Rollover50!$F$18=1,CHOOSE(LBO_Rollover50!$F$9,Business_Plan!N12,Business_Plan!N23,Business_Plan!N34,Business_Plan!N45),LBO_Rollover50!$H$17)</f>
        <v/>
      </c>
      <c r="E12" s="104">
        <f>IF(LBO_Rollover50!$F$18=1,CHOOSE(LBO_Rollover50!$F$9,Business_Plan!O12,Business_Plan!O23,Business_Plan!O34,Business_Plan!O45),LBO_Rollover50!$H$17)</f>
        <v/>
      </c>
      <c r="F12" s="104">
        <f>IF(LBO_Rollover50!$F$18=1,CHOOSE(LBO_Rollover50!$F$9,Business_Plan!P12,Business_Plan!P23,Business_Plan!P34,Business_Plan!P45),LBO_Rollover50!$H$17)</f>
        <v/>
      </c>
      <c r="G12" s="104">
        <f>IF(LBO_Rollover50!$F$18=1,CHOOSE(LBO_Rollover50!$F$9,Business_Plan!Q12,Business_Plan!Q23,Business_Plan!Q34,Business_Plan!Q45),LBO_Rollover50!$H$17)</f>
        <v/>
      </c>
      <c r="H12" s="104">
        <f>IF(LBO_Rollover50!$F$18=1,CHOOSE(LBO_Rollover50!$F$9,Business_Plan!R12,Business_Plan!R23,Business_Plan!R34,Business_Plan!R45),LBO_Rollover50!$H$17)</f>
        <v/>
      </c>
    </row>
    <row r="14">
      <c r="B14" s="127" t="inlineStr">
        <is>
          <t>2. Caso seleccionado en euros (€m)</t>
        </is>
      </c>
    </row>
    <row r="15">
      <c r="B15" t="inlineStr">
        <is>
          <t>Ventas</t>
        </is>
      </c>
      <c r="C15" t="n">
        <v>39864</v>
      </c>
      <c r="D15">
        <f>C15*(1+D5)</f>
        <v/>
      </c>
      <c r="E15">
        <f>D15*(1+E5)</f>
        <v/>
      </c>
      <c r="F15">
        <f>E15*(1+F5)</f>
        <v/>
      </c>
      <c r="G15">
        <f>F15*(1+G5)</f>
        <v/>
      </c>
      <c r="H15">
        <f>G15*(1+H5)</f>
        <v/>
      </c>
    </row>
    <row r="16">
      <c r="B16" t="inlineStr">
        <is>
          <t>Margen bruto</t>
        </is>
      </c>
      <c r="D16">
        <f>D15*D6</f>
        <v/>
      </c>
      <c r="E16">
        <f>E15*E6</f>
        <v/>
      </c>
      <c r="F16">
        <f>F15*F6</f>
        <v/>
      </c>
      <c r="G16">
        <f>G15*G6</f>
        <v/>
      </c>
      <c r="H16">
        <f>H15*H6</f>
        <v/>
      </c>
    </row>
    <row r="17">
      <c r="B17" t="inlineStr">
        <is>
          <t>Gastos (sin alquileres fijos)</t>
        </is>
      </c>
      <c r="C17" t="n">
        <v>11955</v>
      </c>
      <c r="D17">
        <f>C17*(1+D7)</f>
        <v/>
      </c>
      <c r="E17">
        <f>D17*(1+E7)</f>
        <v/>
      </c>
      <c r="F17">
        <f>E17*(1+F7)</f>
        <v/>
      </c>
      <c r="G17">
        <f>F17*(1+G7)</f>
        <v/>
      </c>
      <c r="H17">
        <f>G17*(1+H7)</f>
        <v/>
      </c>
    </row>
    <row r="18">
      <c r="B18" t="inlineStr">
        <is>
          <t>Alquileres fijos</t>
        </is>
      </c>
      <c r="C18" t="n">
        <v>1834</v>
      </c>
      <c r="D18">
        <f>C18*(1+D8)</f>
        <v/>
      </c>
      <c r="E18">
        <f>D18*(1+E8)</f>
        <v/>
      </c>
      <c r="F18">
        <f>E18*(1+F8)</f>
        <v/>
      </c>
      <c r="G18">
        <f>F18*(1+G8)</f>
        <v/>
      </c>
      <c r="H18">
        <f>G18*(1+H8)</f>
        <v/>
      </c>
    </row>
    <row r="19">
      <c r="B19" t="inlineStr">
        <is>
          <t>EBITDA pre-IFRS 16</t>
        </is>
      </c>
      <c r="C19" t="n">
        <v>9433</v>
      </c>
      <c r="D19">
        <f>D16-D17-D18</f>
        <v/>
      </c>
      <c r="E19">
        <f>E16-E17-E18</f>
        <v/>
      </c>
      <c r="F19">
        <f>F16-F17-F18</f>
        <v/>
      </c>
      <c r="G19">
        <f>G16-G17-G18</f>
        <v/>
      </c>
      <c r="H19">
        <f>H16-H17-H18</f>
        <v/>
      </c>
    </row>
    <row r="20">
      <c r="B20" t="inlineStr">
        <is>
          <t>Capex</t>
        </is>
      </c>
      <c r="D20">
        <f>D15*D9</f>
        <v/>
      </c>
      <c r="E20">
        <f>E15*E9</f>
        <v/>
      </c>
      <c r="F20">
        <f>F15*F9</f>
        <v/>
      </c>
      <c r="G20">
        <f>G15*G9</f>
        <v/>
      </c>
      <c r="H20">
        <f>H15*H9</f>
        <v/>
      </c>
    </row>
    <row r="22">
      <c r="B22" s="127" t="inlineStr">
        <is>
          <t>3. Constantes del modelo de palancas</t>
        </is>
      </c>
    </row>
    <row r="23">
      <c r="B23" t="inlineStr">
        <is>
          <t>Factor de añadas: ventas (rampa 60/85/100 %, -3 % por añada)</t>
        </is>
      </c>
      <c r="D23" t="n">
        <v>0.6</v>
      </c>
      <c r="E23" t="n">
        <v>1.432</v>
      </c>
      <c r="F23" t="n">
        <v>2.38904</v>
      </c>
      <c r="G23" t="n">
        <v>3.3173688</v>
      </c>
      <c r="H23" t="n">
        <v>4.217847736</v>
      </c>
    </row>
    <row r="24">
      <c r="B24" t="inlineStr">
        <is>
          <t>Factor de añadas: ventas × margen (rampa de margen 50/80/100 %)</t>
        </is>
      </c>
      <c r="D24" t="n">
        <v>0.3</v>
      </c>
      <c r="E24" t="n">
        <v>0.9710000000000001</v>
      </c>
      <c r="F24" t="n">
        <v>1.94187</v>
      </c>
      <c r="G24" t="n">
        <v>2.8836139</v>
      </c>
      <c r="H24" t="n">
        <v>3.797105483</v>
      </c>
    </row>
    <row r="25">
      <c r="B25" t="inlineStr">
        <is>
          <t>Factor de añadas sin pérdida por añada (reformas)</t>
        </is>
      </c>
      <c r="D25" t="n">
        <v>0.6</v>
      </c>
      <c r="E25" t="n">
        <v>1.45</v>
      </c>
      <c r="F25" t="n">
        <v>2.45</v>
      </c>
      <c r="G25" t="n">
        <v>3.45</v>
      </c>
      <c r="H25" t="n">
        <v>4.45</v>
      </c>
    </row>
    <row r="26">
      <c r="B26" t="inlineStr">
        <is>
          <t>Año del plan (1-5)</t>
        </is>
      </c>
      <c r="D26" t="n">
        <v>1</v>
      </c>
      <c r="E26" t="n">
        <v>2</v>
      </c>
      <c r="F26" t="n">
        <v>3</v>
      </c>
      <c r="G26" t="n">
        <v>4</v>
      </c>
      <c r="H26" t="n">
        <v>5</v>
      </c>
    </row>
    <row r="27">
      <c r="B27" t="inlineStr">
        <is>
          <t>Calendario de la mejora de circulante</t>
        </is>
      </c>
      <c r="D27" t="n">
        <v>0.5</v>
      </c>
      <c r="E27" t="n">
        <v>1</v>
      </c>
      <c r="F27" t="n">
        <v>1</v>
      </c>
      <c r="G27" t="n">
        <v>1</v>
      </c>
      <c r="H27" t="n">
        <v>1</v>
      </c>
    </row>
    <row r="28">
      <c r="B28" t="inlineStr">
        <is>
          <t>Indexación del alquiler de la PropCo (2 % anual)</t>
        </is>
      </c>
      <c r="D28" t="n">
        <v>1</v>
      </c>
      <c r="E28" t="n">
        <v>1.02</v>
      </c>
      <c r="F28" t="n">
        <v>1.0404</v>
      </c>
      <c r="G28" t="n">
        <v>1.061208</v>
      </c>
      <c r="H28" t="n">
        <v>1.08243216</v>
      </c>
    </row>
    <row r="29">
      <c r="B29" t="inlineStr">
        <is>
          <t>Margen EBITDA pre-IFRS 16 del grupo FY2025 (canibalización)</t>
        </is>
      </c>
      <c r="C29" t="n">
        <v>0.2366295404374875</v>
      </c>
    </row>
    <row r="30">
      <c r="B30" t="inlineStr">
        <is>
          <t>Alquileres fijos / ventas FY2025</t>
        </is>
      </c>
      <c r="C30" t="n">
        <v>0.0460064218342364</v>
      </c>
    </row>
    <row r="31">
      <c r="B31" t="inlineStr">
        <is>
          <t>Ventas por m² del grupo FY2025 (€/m²)</t>
        </is>
      </c>
      <c r="C31" t="n">
        <v>8444.504981567365</v>
      </c>
    </row>
    <row r="32">
      <c r="B32" t="inlineStr">
        <is>
          <t>Terrenos y construcciones, valor neto contable (€m)</t>
        </is>
      </c>
      <c r="C32" t="n">
        <v>2404</v>
      </c>
    </row>
    <row r="34">
      <c r="B34" s="127" t="inlineStr">
        <is>
          <t>4. Efecto de cada palanca (€m)</t>
        </is>
      </c>
    </row>
    <row r="35">
      <c r="B35" t="inlineStr">
        <is>
          <t>Expansión en EE. UU.: ventas</t>
        </is>
      </c>
      <c r="D35" s="108">
        <f>(Palancas!$D$4*Palancas!$D$19)*Palancas!$D$20*Palancas!$D$21/1000*D$23*(1-Palancas!$D$24)</f>
        <v/>
      </c>
      <c r="E35" s="108">
        <f>(Palancas!$D$4*Palancas!$D$19)*Palancas!$D$20*Palancas!$D$21/1000*E$23*(1-Palancas!$D$24)</f>
        <v/>
      </c>
      <c r="F35" s="108">
        <f>(Palancas!$D$4*Palancas!$D$19)*Palancas!$D$20*Palancas!$D$21/1000*F$23*(1-Palancas!$D$24)</f>
        <v/>
      </c>
      <c r="G35" s="108">
        <f>(Palancas!$D$4*Palancas!$D$19)*Palancas!$D$20*Palancas!$D$21/1000*G$23*(1-Palancas!$D$24)</f>
        <v/>
      </c>
      <c r="H35" s="108">
        <f>(Palancas!$D$4*Palancas!$D$19)*Palancas!$D$20*Palancas!$D$21/1000*H$23*(1-Palancas!$D$24)</f>
        <v/>
      </c>
    </row>
    <row r="36">
      <c r="B36" t="inlineStr">
        <is>
          <t>Expansión en EE. UU.: EBITDA</t>
        </is>
      </c>
      <c r="D36" s="108">
        <f>(Palancas!$D$4*Palancas!$D$19)*Palancas!$D$20*Palancas!$D$21/1000*(Palancas!$D$22*D$24-Palancas!$D$24*$C$29*D$23)</f>
        <v/>
      </c>
      <c r="E36" s="108">
        <f>(Palancas!$D$4*Palancas!$D$19)*Palancas!$D$20*Palancas!$D$21/1000*(Palancas!$D$22*E$24-Palancas!$D$24*$C$29*E$23)</f>
        <v/>
      </c>
      <c r="F36" s="108">
        <f>(Palancas!$D$4*Palancas!$D$19)*Palancas!$D$20*Palancas!$D$21/1000*(Palancas!$D$22*F$24-Palancas!$D$24*$C$29*F$23)</f>
        <v/>
      </c>
      <c r="G36" s="108">
        <f>(Palancas!$D$4*Palancas!$D$19)*Palancas!$D$20*Palancas!$D$21/1000*(Palancas!$D$22*G$24-Palancas!$D$24*$C$29*G$23)</f>
        <v/>
      </c>
      <c r="H36" s="108">
        <f>(Palancas!$D$4*Palancas!$D$19)*Palancas!$D$20*Palancas!$D$21/1000*(Palancas!$D$22*H$24-Palancas!$D$24*$C$29*H$23)</f>
        <v/>
      </c>
    </row>
    <row r="37">
      <c r="B37" t="inlineStr">
        <is>
          <t>Expansión en EE. UU.: capex</t>
        </is>
      </c>
      <c r="D37" s="108">
        <f>(Palancas!$D$4*Palancas!$D$19)*Palancas!$D$20*Palancas!$D$23/1000</f>
        <v/>
      </c>
      <c r="E37" s="108">
        <f>(Palancas!$D$4*Palancas!$D$19)*Palancas!$D$20*Palancas!$D$23/1000</f>
        <v/>
      </c>
      <c r="F37" s="108">
        <f>(Palancas!$D$4*Palancas!$D$19)*Palancas!$D$20*Palancas!$D$23/1000</f>
        <v/>
      </c>
      <c r="G37" s="108">
        <f>(Palancas!$D$4*Palancas!$D$19)*Palancas!$D$20*Palancas!$D$23/1000</f>
        <v/>
      </c>
      <c r="H37" s="108">
        <f>(Palancas!$D$4*Palancas!$D$19)*Palancas!$D$20*Palancas!$D$23/1000</f>
        <v/>
      </c>
    </row>
    <row r="38">
      <c r="B38" t="inlineStr">
        <is>
          <t>Marcas jóvenes (Stradivarius, Oysho, Bershka): ventas</t>
        </is>
      </c>
      <c r="D38" s="108">
        <f>(Palancas!$D$4*Palancas!$D$26)*Palancas!$D$27*Palancas!$D$28/1000*D$23*(1-Palancas!$D$31)</f>
        <v/>
      </c>
      <c r="E38" s="108">
        <f>(Palancas!$D$4*Palancas!$D$26)*Palancas!$D$27*Palancas!$D$28/1000*E$23*(1-Palancas!$D$31)</f>
        <v/>
      </c>
      <c r="F38" s="108">
        <f>(Palancas!$D$4*Palancas!$D$26)*Palancas!$D$27*Palancas!$D$28/1000*F$23*(1-Palancas!$D$31)</f>
        <v/>
      </c>
      <c r="G38" s="108">
        <f>(Palancas!$D$4*Palancas!$D$26)*Palancas!$D$27*Palancas!$D$28/1000*G$23*(1-Palancas!$D$31)</f>
        <v/>
      </c>
      <c r="H38" s="108">
        <f>(Palancas!$D$4*Palancas!$D$26)*Palancas!$D$27*Palancas!$D$28/1000*H$23*(1-Palancas!$D$31)</f>
        <v/>
      </c>
    </row>
    <row r="39">
      <c r="B39" t="inlineStr">
        <is>
          <t>Marcas jóvenes (Stradivarius, Oysho, Bershka): EBITDA</t>
        </is>
      </c>
      <c r="D39" s="108">
        <f>(Palancas!$D$4*Palancas!$D$26)*Palancas!$D$27*Palancas!$D$28/1000*(Palancas!$D$29*D$24-Palancas!$D$31*$C$29*D$23)</f>
        <v/>
      </c>
      <c r="E39" s="108">
        <f>(Palancas!$D$4*Palancas!$D$26)*Palancas!$D$27*Palancas!$D$28/1000*(Palancas!$D$29*E$24-Palancas!$D$31*$C$29*E$23)</f>
        <v/>
      </c>
      <c r="F39" s="108">
        <f>(Palancas!$D$4*Palancas!$D$26)*Palancas!$D$27*Palancas!$D$28/1000*(Palancas!$D$29*F$24-Palancas!$D$31*$C$29*F$23)</f>
        <v/>
      </c>
      <c r="G39" s="108">
        <f>(Palancas!$D$4*Palancas!$D$26)*Palancas!$D$27*Palancas!$D$28/1000*(Palancas!$D$29*G$24-Palancas!$D$31*$C$29*G$23)</f>
        <v/>
      </c>
      <c r="H39" s="108">
        <f>(Palancas!$D$4*Palancas!$D$26)*Palancas!$D$27*Palancas!$D$28/1000*(Palancas!$D$29*H$24-Palancas!$D$31*$C$29*H$23)</f>
        <v/>
      </c>
    </row>
    <row r="40">
      <c r="B40" t="inlineStr">
        <is>
          <t>Marcas jóvenes (Stradivarius, Oysho, Bershka): capex</t>
        </is>
      </c>
      <c r="D40" s="108">
        <f>(Palancas!$D$4*Palancas!$D$26)*Palancas!$D$27*Palancas!$D$30/1000</f>
        <v/>
      </c>
      <c r="E40" s="108">
        <f>(Palancas!$D$4*Palancas!$D$26)*Palancas!$D$27*Palancas!$D$30/1000</f>
        <v/>
      </c>
      <c r="F40" s="108">
        <f>(Palancas!$D$4*Palancas!$D$26)*Palancas!$D$27*Palancas!$D$30/1000</f>
        <v/>
      </c>
      <c r="G40" s="108">
        <f>(Palancas!$D$4*Palancas!$D$26)*Palancas!$D$27*Palancas!$D$30/1000</f>
        <v/>
      </c>
      <c r="H40" s="108">
        <f>(Palancas!$D$4*Palancas!$D$26)*Palancas!$D$27*Palancas!$D$30/1000</f>
        <v/>
      </c>
    </row>
    <row r="41">
      <c r="B41" t="inlineStr">
        <is>
          <t>Lefties frente a Shein y Temu: ventas</t>
        </is>
      </c>
      <c r="D41" s="108">
        <f>(Palancas!$D$4*Palancas!$D$33)*Palancas!$D$34*Palancas!$D$35/1000*D$23*(1-Palancas!$D$38)</f>
        <v/>
      </c>
      <c r="E41" s="108">
        <f>(Palancas!$D$4*Palancas!$D$33)*Palancas!$D$34*Palancas!$D$35/1000*E$23*(1-Palancas!$D$38)</f>
        <v/>
      </c>
      <c r="F41" s="108">
        <f>(Palancas!$D$4*Palancas!$D$33)*Palancas!$D$34*Palancas!$D$35/1000*F$23*(1-Palancas!$D$38)</f>
        <v/>
      </c>
      <c r="G41" s="108">
        <f>(Palancas!$D$4*Palancas!$D$33)*Palancas!$D$34*Palancas!$D$35/1000*G$23*(1-Palancas!$D$38)</f>
        <v/>
      </c>
      <c r="H41" s="108">
        <f>(Palancas!$D$4*Palancas!$D$33)*Palancas!$D$34*Palancas!$D$35/1000*H$23*(1-Palancas!$D$38)</f>
        <v/>
      </c>
    </row>
    <row r="42">
      <c r="B42" t="inlineStr">
        <is>
          <t>Lefties frente a Shein y Temu: EBITDA</t>
        </is>
      </c>
      <c r="D42" s="108">
        <f>(Palancas!$D$4*Palancas!$D$33)*Palancas!$D$34*Palancas!$D$35/1000*(Palancas!$D$36*D$24-Palancas!$D$38*$C$29*D$23)</f>
        <v/>
      </c>
      <c r="E42" s="108">
        <f>(Palancas!$D$4*Palancas!$D$33)*Palancas!$D$34*Palancas!$D$35/1000*(Palancas!$D$36*E$24-Palancas!$D$38*$C$29*E$23)</f>
        <v/>
      </c>
      <c r="F42" s="108">
        <f>(Palancas!$D$4*Palancas!$D$33)*Palancas!$D$34*Palancas!$D$35/1000*(Palancas!$D$36*F$24-Palancas!$D$38*$C$29*F$23)</f>
        <v/>
      </c>
      <c r="G42" s="108">
        <f>(Palancas!$D$4*Palancas!$D$33)*Palancas!$D$34*Palancas!$D$35/1000*(Palancas!$D$36*G$24-Palancas!$D$38*$C$29*G$23)</f>
        <v/>
      </c>
      <c r="H42" s="108">
        <f>(Palancas!$D$4*Palancas!$D$33)*Palancas!$D$34*Palancas!$D$35/1000*(Palancas!$D$36*H$24-Palancas!$D$38*$C$29*H$23)</f>
        <v/>
      </c>
    </row>
    <row r="43">
      <c r="B43" t="inlineStr">
        <is>
          <t>Lefties frente a Shein y Temu: capex</t>
        </is>
      </c>
      <c r="D43" s="108">
        <f>(Palancas!$D$4*Palancas!$D$33)*Palancas!$D$34*Palancas!$D$37/1000</f>
        <v/>
      </c>
      <c r="E43" s="108">
        <f>(Palancas!$D$4*Palancas!$D$33)*Palancas!$D$34*Palancas!$D$37/1000</f>
        <v/>
      </c>
      <c r="F43" s="108">
        <f>(Palancas!$D$4*Palancas!$D$33)*Palancas!$D$34*Palancas!$D$37/1000</f>
        <v/>
      </c>
      <c r="G43" s="108">
        <f>(Palancas!$D$4*Palancas!$D$33)*Palancas!$D$34*Palancas!$D$37/1000</f>
        <v/>
      </c>
      <c r="H43" s="108">
        <f>(Palancas!$D$4*Palancas!$D$33)*Palancas!$D$34*Palancas!$D$37/1000</f>
        <v/>
      </c>
    </row>
    <row r="44">
      <c r="B44" t="inlineStr">
        <is>
          <t>Optimización de tiendas: ventas</t>
        </is>
      </c>
      <c r="D44" s="108">
        <f>(Palancas!$D$4*Palancas!$D$40)*Palancas!$D$41*$C$31/1000*Palancas!$D$42*D$25</f>
        <v/>
      </c>
      <c r="E44" s="108">
        <f>(Palancas!$D$4*Palancas!$D$40)*Palancas!$D$41*$C$31/1000*Palancas!$D$42*E$25</f>
        <v/>
      </c>
      <c r="F44" s="108">
        <f>(Palancas!$D$4*Palancas!$D$40)*Palancas!$D$41*$C$31/1000*Palancas!$D$42*F$25</f>
        <v/>
      </c>
      <c r="G44" s="108">
        <f>(Palancas!$D$4*Palancas!$D$40)*Palancas!$D$41*$C$31/1000*Palancas!$D$42*G$25</f>
        <v/>
      </c>
      <c r="H44" s="108">
        <f>(Palancas!$D$4*Palancas!$D$40)*Palancas!$D$41*$C$31/1000*Palancas!$D$42*H$25</f>
        <v/>
      </c>
    </row>
    <row r="45">
      <c r="B45" t="inlineStr">
        <is>
          <t>Optimización de tiendas: EBITDA</t>
        </is>
      </c>
      <c r="D45" s="108">
        <f>D44*Palancas!$D$44</f>
        <v/>
      </c>
      <c r="E45" s="108">
        <f>E44*Palancas!$D$44</f>
        <v/>
      </c>
      <c r="F45" s="108">
        <f>F44*Palancas!$D$44</f>
        <v/>
      </c>
      <c r="G45" s="108">
        <f>G44*Palancas!$D$44</f>
        <v/>
      </c>
      <c r="H45" s="108">
        <f>H44*Palancas!$D$44</f>
        <v/>
      </c>
    </row>
    <row r="46">
      <c r="B46" t="inlineStr">
        <is>
          <t>Optimización de tiendas: capex</t>
        </is>
      </c>
      <c r="D46" s="108">
        <f>(Palancas!$D$4*Palancas!$D$40)*Palancas!$D$41*Palancas!$D$43/1000</f>
        <v/>
      </c>
      <c r="E46" s="108">
        <f>(Palancas!$D$4*Palancas!$D$40)*Palancas!$D$41*Palancas!$D$43/1000</f>
        <v/>
      </c>
      <c r="F46" s="108">
        <f>(Palancas!$D$4*Palancas!$D$40)*Palancas!$D$41*Palancas!$D$43/1000</f>
        <v/>
      </c>
      <c r="G46" s="108">
        <f>(Palancas!$D$4*Palancas!$D$40)*Palancas!$D$41*Palancas!$D$43/1000</f>
        <v/>
      </c>
      <c r="H46" s="108">
        <f>(Palancas!$D$4*Palancas!$D$40)*Palancas!$D$41*Palancas!$D$43/1000</f>
        <v/>
      </c>
    </row>
    <row r="47">
      <c r="B47" t="inlineStr">
        <is>
          <t>Eficiencia operativa: EBITDA</t>
        </is>
      </c>
      <c r="D47" s="108">
        <f>(Palancas!$D$4*Palancas!$D$46)*(Palancas!$D$47/10000*D15*MIN(1,D$26/Palancas!$D$48)-IF(D$26&lt;=2,0.5*Palancas!$D$49*Palancas!$D$47/10000*$D15,0))</f>
        <v/>
      </c>
      <c r="E47" s="108">
        <f>(Palancas!$D$4*Palancas!$D$46)*(Palancas!$D$47/10000*E15*MIN(1,E$26/Palancas!$D$48)-IF(E$26&lt;=2,0.5*Palancas!$D$49*Palancas!$D$47/10000*$D15,0))</f>
        <v/>
      </c>
      <c r="F47" s="108">
        <f>(Palancas!$D$4*Palancas!$D$46)*(Palancas!$D$47/10000*F15*MIN(1,F$26/Palancas!$D$48)-IF(F$26&lt;=2,0.5*Palancas!$D$49*Palancas!$D$47/10000*$D15,0))</f>
        <v/>
      </c>
      <c r="G47" s="108">
        <f>(Palancas!$D$4*Palancas!$D$46)*(Palancas!$D$47/10000*G15*MIN(1,G$26/Palancas!$D$48)-IF(G$26&lt;=2,0.5*Palancas!$D$49*Palancas!$D$47/10000*$D15,0))</f>
        <v/>
      </c>
      <c r="H47" s="108">
        <f>(Palancas!$D$4*Palancas!$D$46)*(Palancas!$D$47/10000*H15*MIN(1,H$26/Palancas!$D$48)-IF(H$26&lt;=2,0.5*Palancas!$D$49*Palancas!$D$47/10000*$D15,0))</f>
        <v/>
      </c>
    </row>
    <row r="48">
      <c r="B48" t="inlineStr">
        <is>
          <t>Circulante: cambio en existencias / ventas</t>
        </is>
      </c>
      <c r="D48" s="131">
        <f>-(Palancas!$D$4*Palancas!$D$51)*Palancas!$D$53/100*D$27</f>
        <v/>
      </c>
      <c r="E48" s="131">
        <f>-(Palancas!$D$4*Palancas!$D$51)*Palancas!$D$53/100*E$27</f>
        <v/>
      </c>
      <c r="F48" s="131">
        <f>-(Palancas!$D$4*Palancas!$D$51)*Palancas!$D$53/100*F$27</f>
        <v/>
      </c>
      <c r="G48" s="131">
        <f>-(Palancas!$D$4*Palancas!$D$51)*Palancas!$D$53/100*G$27</f>
        <v/>
      </c>
      <c r="H48" s="131">
        <f>-(Palancas!$D$4*Palancas!$D$51)*Palancas!$D$53/100*H$27</f>
        <v/>
      </c>
    </row>
    <row r="49">
      <c r="B49" t="inlineStr">
        <is>
          <t>Circulante: cambio en proveedores / ventas</t>
        </is>
      </c>
      <c r="D49" s="131">
        <f>-(Palancas!$D$4*Palancas!$D$51)*Palancas!$D$52/100*D$27</f>
        <v/>
      </c>
      <c r="E49" s="131">
        <f>-(Palancas!$D$4*Palancas!$D$51)*Palancas!$D$52/100*E$27</f>
        <v/>
      </c>
      <c r="F49" s="131">
        <f>-(Palancas!$D$4*Palancas!$D$51)*Palancas!$D$52/100*F$27</f>
        <v/>
      </c>
      <c r="G49" s="131">
        <f>-(Palancas!$D$4*Palancas!$D$51)*Palancas!$D$52/100*G$27</f>
        <v/>
      </c>
      <c r="H49" s="131">
        <f>-(Palancas!$D$4*Palancas!$D$51)*Palancas!$D$52/100*H$27</f>
        <v/>
      </c>
    </row>
    <row r="50">
      <c r="B50" t="inlineStr">
        <is>
          <t>PropCo: ingresos por la venta de inmuebles (fuente al cierre)</t>
        </is>
      </c>
      <c r="C50" s="108">
        <f>(Palancas!$D$4*Palancas!$D$55)*$C$32*Palancas!$D$56*Palancas!$D$57</f>
        <v/>
      </c>
    </row>
    <row r="51">
      <c r="B51" t="inlineStr">
        <is>
          <t>PropCo: nuevo alquiler fijo</t>
        </is>
      </c>
      <c r="D51" s="108">
        <f>$C$50*Palancas!$D$58*D$28</f>
        <v/>
      </c>
      <c r="E51" s="108">
        <f>$C$50*Palancas!$D$58*E$28</f>
        <v/>
      </c>
      <c r="F51" s="108">
        <f>$C$50*Palancas!$D$58*F$28</f>
        <v/>
      </c>
      <c r="G51" s="108">
        <f>$C$50*Palancas!$D$58*G$28</f>
        <v/>
      </c>
      <c r="H51" s="108">
        <f>$C$50*Palancas!$D$58*H$28</f>
        <v/>
      </c>
    </row>
    <row r="52">
      <c r="B52" t="inlineStr">
        <is>
          <t>PropCo: EBITDA</t>
        </is>
      </c>
      <c r="D52" s="108">
        <f>-D51</f>
        <v/>
      </c>
      <c r="E52" s="108">
        <f>-E51</f>
        <v/>
      </c>
      <c r="F52" s="108">
        <f>-F51</f>
        <v/>
      </c>
      <c r="G52" s="108">
        <f>-G51</f>
        <v/>
      </c>
      <c r="H52" s="108">
        <f>-H51</f>
        <v/>
      </c>
    </row>
    <row r="53">
      <c r="B53" t="inlineStr">
        <is>
          <t>Recap: activo (1/0)</t>
        </is>
      </c>
      <c r="C53">
        <f>(Palancas!$D$4*Palancas!$D$60)</f>
        <v/>
      </c>
    </row>
    <row r="55">
      <c r="B55" s="127" t="inlineStr">
        <is>
          <t>5. Caso con palancas (€m)</t>
        </is>
      </c>
    </row>
    <row r="56">
      <c r="B56" t="inlineStr">
        <is>
          <t>Ventas incrementales</t>
        </is>
      </c>
      <c r="D56" s="108">
        <f>D35+D38+D41+D44</f>
        <v/>
      </c>
      <c r="E56" s="108">
        <f>E35+E38+E41+E44</f>
        <v/>
      </c>
      <c r="F56" s="108">
        <f>F35+F38+F41+F44</f>
        <v/>
      </c>
      <c r="G56" s="108">
        <f>G35+G38+G41+G44</f>
        <v/>
      </c>
      <c r="H56" s="108">
        <f>H35+H38+H41+H44</f>
        <v/>
      </c>
    </row>
    <row r="57">
      <c r="B57" t="inlineStr">
        <is>
          <t>EBITDA pre-IFRS 16 incremental</t>
        </is>
      </c>
      <c r="D57" s="108">
        <f>D36+D39+D42+D45+D47+D52</f>
        <v/>
      </c>
      <c r="E57" s="108">
        <f>E36+E39+E42+E45+E47+E52</f>
        <v/>
      </c>
      <c r="F57" s="108">
        <f>F36+F39+F42+F45+F47+F52</f>
        <v/>
      </c>
      <c r="G57" s="108">
        <f>G36+G39+G42+G45+G47+G52</f>
        <v/>
      </c>
      <c r="H57" s="108">
        <f>H36+H39+H42+H45+H47+H52</f>
        <v/>
      </c>
    </row>
    <row r="58">
      <c r="B58" t="inlineStr">
        <is>
          <t>Capex incremental</t>
        </is>
      </c>
      <c r="D58" s="108">
        <f>D37+D40+D43+D46</f>
        <v/>
      </c>
      <c r="E58" s="108">
        <f>E37+E40+E43+E46</f>
        <v/>
      </c>
      <c r="F58" s="108">
        <f>F37+F40+F43+F46</f>
        <v/>
      </c>
      <c r="G58" s="108">
        <f>G37+G40+G43+G46</f>
        <v/>
      </c>
      <c r="H58" s="108">
        <f>H37+H40+H43+H46</f>
        <v/>
      </c>
    </row>
    <row r="59">
      <c r="B59" t="inlineStr">
        <is>
          <t>Ventas</t>
        </is>
      </c>
      <c r="C59" s="108" t="n">
        <v>39864</v>
      </c>
      <c r="D59" s="108">
        <f>D15+D56</f>
        <v/>
      </c>
      <c r="E59" s="108">
        <f>E15+E56</f>
        <v/>
      </c>
      <c r="F59" s="108">
        <f>F15+F56</f>
        <v/>
      </c>
      <c r="G59" s="108">
        <f>G15+G56</f>
        <v/>
      </c>
      <c r="H59" s="108">
        <f>H15+H56</f>
        <v/>
      </c>
    </row>
    <row r="60">
      <c r="B60" t="inlineStr">
        <is>
          <t>Margen bruto</t>
        </is>
      </c>
      <c r="D60" s="108">
        <f>D16+D56*D16/D15</f>
        <v/>
      </c>
      <c r="E60" s="108">
        <f>E16+E56*E16/E15</f>
        <v/>
      </c>
      <c r="F60" s="108">
        <f>F16+F56*F16/F15</f>
        <v/>
      </c>
      <c r="G60" s="108">
        <f>G16+G56*G16/G15</f>
        <v/>
      </c>
      <c r="H60" s="108">
        <f>H16+H56*H16/H15</f>
        <v/>
      </c>
    </row>
    <row r="61">
      <c r="B61" t="inlineStr">
        <is>
          <t>Alquileres fijos</t>
        </is>
      </c>
      <c r="C61" s="108" t="n">
        <v>1834</v>
      </c>
      <c r="D61" s="108">
        <f>D18+D56*$C$30+D51</f>
        <v/>
      </c>
      <c r="E61" s="108">
        <f>E18+E56*$C$30+E51</f>
        <v/>
      </c>
      <c r="F61" s="108">
        <f>F18+F56*$C$30+F51</f>
        <v/>
      </c>
      <c r="G61" s="108">
        <f>G18+G56*$C$30+G51</f>
        <v/>
      </c>
      <c r="H61" s="108">
        <f>H18+H56*$C$30+H51</f>
        <v/>
      </c>
    </row>
    <row r="62">
      <c r="B62" t="inlineStr">
        <is>
          <t>EBITDA pre-IFRS 16</t>
        </is>
      </c>
      <c r="C62" t="n">
        <v>9433</v>
      </c>
      <c r="D62" s="108">
        <f>D19+D57</f>
        <v/>
      </c>
      <c r="E62" s="108">
        <f>E19+E57</f>
        <v/>
      </c>
      <c r="F62" s="108">
        <f>F19+F57</f>
        <v/>
      </c>
      <c r="G62" s="108">
        <f>G19+G57</f>
        <v/>
      </c>
      <c r="H62" s="108">
        <f>H19+H57</f>
        <v/>
      </c>
    </row>
    <row r="63">
      <c r="B63" t="inlineStr">
        <is>
          <t>Gastos (sin alquileres fijos)</t>
        </is>
      </c>
      <c r="C63" s="108" t="n">
        <v>11955</v>
      </c>
      <c r="D63" s="108">
        <f>D60-D62-D61</f>
        <v/>
      </c>
      <c r="E63" s="108">
        <f>E60-E62-E61</f>
        <v/>
      </c>
      <c r="F63" s="108">
        <f>F60-F62-F61</f>
        <v/>
      </c>
      <c r="G63" s="108">
        <f>G60-G62-G61</f>
        <v/>
      </c>
      <c r="H63" s="108">
        <f>H60-H62-H61</f>
        <v/>
      </c>
    </row>
    <row r="64">
      <c r="B64" t="inlineStr">
        <is>
          <t>Capex</t>
        </is>
      </c>
      <c r="D64" s="108">
        <f>D20+D58</f>
        <v/>
      </c>
      <c r="E64" s="108">
        <f>E20+E58</f>
        <v/>
      </c>
      <c r="F64" s="108">
        <f>F20+F58</f>
        <v/>
      </c>
      <c r="G64" s="108">
        <f>G20+G58</f>
        <v/>
      </c>
      <c r="H64" s="108">
        <f>H20+H58</f>
        <v/>
      </c>
    </row>
    <row r="65">
      <c r="B65" t="inlineStr">
        <is>
          <t>Circulante: caja liberada acumulada 2026-30 (€m)</t>
        </is>
      </c>
      <c r="C65" s="108">
        <f>-H59*(H48+H49)</f>
        <v/>
      </c>
    </row>
    <row r="67">
      <c r="B67" s="127" t="inlineStr">
        <is>
          <t>6. Drivers finales (alimentan LBO_Rollover50!N10:R17)</t>
        </is>
      </c>
    </row>
    <row r="68">
      <c r="B68" t="inlineStr">
        <is>
          <t>Crecimiento de ventas</t>
        </is>
      </c>
      <c r="D68" s="104">
        <f>D59/C59-1</f>
        <v/>
      </c>
      <c r="E68" s="104">
        <f>E59/D59-1</f>
        <v/>
      </c>
      <c r="F68" s="104">
        <f>F59/E59-1</f>
        <v/>
      </c>
      <c r="G68" s="104">
        <f>G59/F59-1</f>
        <v/>
      </c>
      <c r="H68" s="104">
        <f>H59/G59-1</f>
        <v/>
      </c>
    </row>
    <row r="69">
      <c r="B69" t="inlineStr">
        <is>
          <t>Margen bruto</t>
        </is>
      </c>
      <c r="D69" s="104">
        <f>D60/D59</f>
        <v/>
      </c>
      <c r="E69" s="104">
        <f>E60/E59</f>
        <v/>
      </c>
      <c r="F69" s="104">
        <f>F60/F59</f>
        <v/>
      </c>
      <c r="G69" s="104">
        <f>G60/G59</f>
        <v/>
      </c>
      <c r="H69" s="104">
        <f>H60/H59</f>
        <v/>
      </c>
    </row>
    <row r="70">
      <c r="B70" t="inlineStr">
        <is>
          <t>Crecimiento de gastos (sin alquileres fijos)</t>
        </is>
      </c>
      <c r="D70" s="104">
        <f>D63/C63-1</f>
        <v/>
      </c>
      <c r="E70" s="104">
        <f>E63/D63-1</f>
        <v/>
      </c>
      <c r="F70" s="104">
        <f>F63/E63-1</f>
        <v/>
      </c>
      <c r="G70" s="104">
        <f>G63/F63-1</f>
        <v/>
      </c>
      <c r="H70" s="104">
        <f>H63/G63-1</f>
        <v/>
      </c>
    </row>
    <row r="71">
      <c r="B71" t="inlineStr">
        <is>
          <t>Crecimiento de alquileres fijos</t>
        </is>
      </c>
      <c r="D71" s="104">
        <f>D61/C61-1</f>
        <v/>
      </c>
      <c r="E71" s="104">
        <f>E61/D61-1</f>
        <v/>
      </c>
      <c r="F71" s="104">
        <f>F61/E61-1</f>
        <v/>
      </c>
      <c r="G71" s="104">
        <f>G61/F61-1</f>
        <v/>
      </c>
      <c r="H71" s="104">
        <f>H61/G61-1</f>
        <v/>
      </c>
    </row>
    <row r="72">
      <c r="B72" t="inlineStr">
        <is>
          <t>Capex / ventas</t>
        </is>
      </c>
      <c r="D72" s="104">
        <f>D64/D59</f>
        <v/>
      </c>
      <c r="E72" s="104">
        <f>E64/E59</f>
        <v/>
      </c>
      <c r="F72" s="104">
        <f>F64/F59</f>
        <v/>
      </c>
      <c r="G72" s="104">
        <f>G64/G59</f>
        <v/>
      </c>
      <c r="H72" s="104">
        <f>H64/H59</f>
        <v/>
      </c>
    </row>
    <row r="73">
      <c r="B73" t="inlineStr">
        <is>
          <t>Existencias / ventas</t>
        </is>
      </c>
      <c r="D73" s="104">
        <f>D10+D48</f>
        <v/>
      </c>
      <c r="E73" s="104">
        <f>E10+E48</f>
        <v/>
      </c>
      <c r="F73" s="104">
        <f>F10+F48</f>
        <v/>
      </c>
      <c r="G73" s="104">
        <f>G10+G48</f>
        <v/>
      </c>
      <c r="H73" s="104">
        <f>H10+H48</f>
        <v/>
      </c>
    </row>
    <row r="74">
      <c r="B74" t="inlineStr">
        <is>
          <t>Clientes / ventas</t>
        </is>
      </c>
      <c r="D74" s="104">
        <f>D11</f>
        <v/>
      </c>
      <c r="E74" s="104">
        <f>E11</f>
        <v/>
      </c>
      <c r="F74" s="104">
        <f>F11</f>
        <v/>
      </c>
      <c r="G74" s="104">
        <f>G11</f>
        <v/>
      </c>
      <c r="H74" s="104">
        <f>H11</f>
        <v/>
      </c>
    </row>
    <row r="75">
      <c r="B75" t="inlineStr">
        <is>
          <t>Proveedores / ventas</t>
        </is>
      </c>
      <c r="D75" s="104">
        <f>D12+D49</f>
        <v/>
      </c>
      <c r="E75" s="104">
        <f>E12+E49</f>
        <v/>
      </c>
      <c r="F75" s="104">
        <f>F12+F49</f>
        <v/>
      </c>
      <c r="G75" s="104">
        <f>G12+G49</f>
        <v/>
      </c>
      <c r="H75" s="104">
        <f>H12+H49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zoomScaleNormal="100" workbookViewId="0">
      <selection activeCell="A1" sqref="A1"/>
    </sheetView>
  </sheetViews>
  <sheetFormatPr baseColWidth="10" defaultColWidth="8.85546875" defaultRowHeight="10.2"/>
  <cols>
    <col width="3" customWidth="1" min="2" max="2"/>
    <col width="30" customWidth="1" min="3" max="3"/>
    <col width="8" customWidth="1" min="4" max="4"/>
    <col width="55" customWidth="1" min="5" max="6"/>
  </cols>
  <sheetData>
    <row r="2" ht="28.35" customHeight="1">
      <c r="C2" s="96" t="inlineStr">
        <is>
          <t>Qué es</t>
        </is>
      </c>
      <c r="D2" s="97" t="n"/>
      <c r="E2" s="97" t="inlineStr">
        <is>
          <t>Copia del Excel del grupo. La hoja LBO_Rollover50 es una copia exacta de la hoja LBO (mismo formato, mismas filas y fórmulas) en la que solo se han cambiado las celdas indicadas abajo. La hoja LBO original no se ha tocado y las dos hojas no están enlazadas.</t>
        </is>
      </c>
    </row>
    <row r="3">
      <c r="C3" s="98" t="inlineStr">
        <is>
          <t>Tema</t>
        </is>
      </c>
      <c r="D3" s="98" t="inlineStr">
        <is>
          <t>Celdas</t>
        </is>
      </c>
      <c r="E3" s="98" t="inlineStr">
        <is>
          <t>Hoja LBO (original)</t>
        </is>
      </c>
      <c r="F3" s="98" t="inlineStr">
        <is>
          <t>Hoja LBO_Rollover50</t>
        </is>
      </c>
    </row>
    <row r="4">
      <c r="C4" s="96" t="inlineStr">
        <is>
          <t>Perímetro</t>
        </is>
      </c>
      <c r="D4" s="97" t="inlineStr">
        <is>
          <t>F168</t>
        </is>
      </c>
      <c r="E4" s="97" t="inlineStr">
        <is>
          <t>64,35% (Amancio + Sandra)</t>
        </is>
      </c>
      <c r="F4" s="97" t="inlineStr">
        <is>
          <t>100% (OPA obligatoria; incluye el rollover)</t>
        </is>
      </c>
    </row>
    <row r="5" ht="51" customHeight="1">
      <c r="C5" s="96" t="inlineStr">
        <is>
          <t>Rollover</t>
        </is>
      </c>
      <c r="D5" s="97" t="inlineStr">
        <is>
          <t>H171:K173, E207, E208, D196</t>
        </is>
      </c>
      <c r="E5" s="97" t="inlineStr">
        <is>
          <t>Sin rollover</t>
        </is>
      </c>
      <c r="F5" s="97" t="inlineStr">
        <is>
          <t>Amancio aporta el 50% de su 59,294% a la TopCo (≈ €53.800m). Fila 196 = equity total (sponsor + rollover); fila 208 = efectivo del sponsor</t>
        </is>
      </c>
    </row>
    <row r="6" ht="20.4" customHeight="1">
      <c r="C6" s="96" t="inlineStr">
        <is>
          <t>Veces EBITDA</t>
        </is>
      </c>
      <c r="D6" s="97" t="inlineStr">
        <is>
          <t>G178:G181</t>
        </is>
      </c>
      <c r="E6" s="97" t="inlineStr">
        <is>
          <t>1,5 / 3,0 / 2,0 / 4,0 = 10,5x</t>
        </is>
      </c>
      <c r="F6" s="97" t="inlineStr">
        <is>
          <t>2,0 / 2,0 / 1,0 / 1,0 = 6,0x (apuntes de Borja)</t>
        </is>
      </c>
    </row>
    <row r="7">
      <c r="C7" s="96" t="inlineStr">
        <is>
          <t>Euribor</t>
        </is>
      </c>
      <c r="D7" s="97" t="inlineStr">
        <is>
          <t>G177</t>
        </is>
      </c>
      <c r="E7" s="97" t="inlineStr">
        <is>
          <t>3,00%</t>
        </is>
      </c>
      <c r="F7" s="97" t="inlineStr">
        <is>
          <t>2,59% (3M, 1-oct-2026)</t>
        </is>
      </c>
    </row>
    <row r="8" ht="20.4" customHeight="1">
      <c r="C8" s="96" t="inlineStr">
        <is>
          <t>Márgenes senior</t>
        </is>
      </c>
      <c r="D8" s="97" t="inlineStr">
        <is>
          <t>H178, H179</t>
        </is>
      </c>
      <c r="E8" s="97" t="inlineStr">
        <is>
          <t>TLA +2,50% / TLB +3,50%</t>
        </is>
      </c>
      <c r="F8" s="97" t="inlineStr">
        <is>
          <t>TLA +3,25% / TLB +4,25%</t>
        </is>
      </c>
    </row>
    <row r="9" ht="30.6" customHeight="1">
      <c r="C9" s="96" t="inlineStr">
        <is>
          <t>Subordinada</t>
        </is>
      </c>
      <c r="D9" s="97" t="inlineStr">
        <is>
          <t>F180, H180, I180</t>
        </is>
      </c>
      <c r="E9" s="97" t="inlineStr">
        <is>
          <t>E + 4,75% en efectivo</t>
        </is>
      </c>
      <c r="F9" s="97" t="inlineStr">
        <is>
          <t>HoldCo PIK al 10,5% fijo (I180 = 1)</t>
        </is>
      </c>
    </row>
    <row r="10" ht="20.4" customHeight="1">
      <c r="C10" s="96" t="inlineStr">
        <is>
          <t>Vendor loan</t>
        </is>
      </c>
      <c r="D10" s="97" t="inlineStr">
        <is>
          <t>H181, I181</t>
        </is>
      </c>
      <c r="E10" s="97" t="inlineStr">
        <is>
          <t>5,5% en efectivo</t>
        </is>
      </c>
      <c r="F10" s="97" t="inlineStr">
        <is>
          <t>10% PIK (I181 = 1)</t>
        </is>
      </c>
    </row>
    <row r="11" ht="20.4" customHeight="1">
      <c r="C11" s="96" t="inlineStr">
        <is>
          <t>Amortización TLA</t>
        </is>
      </c>
      <c r="D11" s="97" t="inlineStr">
        <is>
          <t>N83:R83, R251</t>
        </is>
      </c>
      <c r="E11" s="97" t="inlineStr">
        <is>
          <t>10/15/20/25/30%</t>
        </is>
      </c>
      <c r="F11" s="97" t="inlineStr">
        <is>
          <t>0/10/15/20/25%; el 30% restante se repaga en la salida</t>
        </is>
      </c>
    </row>
    <row r="12">
      <c r="C12" s="96" t="inlineStr">
        <is>
          <t>Cash sweep TLB</t>
        </is>
      </c>
      <c r="D12" s="97" t="inlineStr">
        <is>
          <t>F183</t>
        </is>
      </c>
      <c r="E12" s="97" t="inlineStr">
        <is>
          <t>0%</t>
        </is>
      </c>
      <c r="F12" s="97" t="inlineStr">
        <is>
          <t>75%</t>
        </is>
      </c>
    </row>
    <row r="13" ht="30.6" customHeight="1">
      <c r="C13" s="96" t="inlineStr">
        <is>
          <t>RCF</t>
        </is>
      </c>
      <c r="D13" s="97" t="inlineStr">
        <is>
          <t>F184, H185, F186</t>
        </is>
      </c>
      <c r="E13" s="97" t="inlineStr">
        <is>
          <t>€2.000m, E + 2,25%, 0,35%</t>
        </is>
      </c>
      <c r="F13" s="97" t="inlineStr">
        <is>
          <t>€4.000m, E + 3,00%, 1,05% (35% del margen)</t>
        </is>
      </c>
    </row>
    <row r="14">
      <c r="C14" s="96" t="inlineStr">
        <is>
          <t>Comisiones de financiación</t>
        </is>
      </c>
      <c r="D14" s="97" t="inlineStr">
        <is>
          <t>K169</t>
        </is>
      </c>
      <c r="E14" s="97" t="inlineStr">
        <is>
          <t>1,5%</t>
        </is>
      </c>
      <c r="F14" s="97" t="inlineStr">
        <is>
          <t>2,25%</t>
        </is>
      </c>
    </row>
    <row r="15" ht="20.4" customHeight="1">
      <c r="C15" s="96" t="inlineStr">
        <is>
          <t>Impuestos</t>
        </is>
      </c>
      <c r="D15" s="97" t="inlineStr">
        <is>
          <t>N36:R36, K174</t>
        </is>
      </c>
      <c r="E15" s="97" t="inlineStr">
        <is>
          <t>Intereses deducibles sin límite</t>
        </is>
      </c>
      <c r="F15" s="97" t="inlineStr">
        <is>
          <t>Tope del 30% del EBITDA reportado (art. 16 LIS)</t>
        </is>
      </c>
    </row>
    <row r="16" ht="20.4" customHeight="1">
      <c r="C16" s="96" t="inlineStr">
        <is>
          <t>IRR</t>
        </is>
      </c>
      <c r="D16" s="97" t="inlineStr">
        <is>
          <t>M235:M239</t>
        </is>
      </c>
      <c r="E16" s="97" t="inlineStr">
        <is>
          <t>Sobre el equity total</t>
        </is>
      </c>
      <c r="F16" s="97" t="inlineStr">
        <is>
          <t>Sobre el efectivo del sponsor (fila 208), que recibe su % de la TopCo</t>
        </is>
      </c>
    </row>
    <row r="17" ht="40.8" customHeight="1">
      <c r="C17" s="96" t="inlineStr">
        <is>
          <t>Nuevas filas</t>
        </is>
      </c>
      <c r="D17" s="97" t="inlineStr">
        <is>
          <t>Fila 136, filas 253–254</t>
        </is>
      </c>
      <c r="E17" s="97" t="inlineStr">
        <is>
          <t>—</t>
        </is>
      </c>
      <c r="F17" s="97" t="inlineStr">
        <is>
          <t>DSCR por año y dos checks nuevos (DSCR ≥ 1,2x y senior &lt; 4x)</t>
        </is>
      </c>
    </row>
    <row r="18" ht="30.6" customHeight="1">
      <c r="C18" s="96" t="inlineStr">
        <is>
          <t>Sensibilidad</t>
        </is>
      </c>
      <c r="D18" s="97" t="inlineStr">
        <is>
          <t>D248:L250</t>
        </is>
      </c>
      <c r="E18" s="97" t="inlineStr">
        <is>
          <t>Prima 0/5/15% × deuda 9/10,5/12x</t>
        </is>
      </c>
      <c r="F18" s="97" t="inlineStr">
        <is>
          <t>Prima 5/20/30% × deuda 5/6/7x. Misma aproximación del modelo original (salida al múltiplo de entrada), ahora sobre el equity total</t>
        </is>
      </c>
    </row>
    <row r="19" ht="20.4" customHeight="1">
      <c r="C19" s="96" t="inlineStr">
        <is>
          <t>Sin cambios</t>
        </is>
      </c>
      <c r="D19" s="97" t="inlineStr">
        <is>
          <t>Filas 7–73</t>
        </is>
      </c>
      <c r="E19" s="97" t="inlineStr">
        <is>
          <t>Business plan del grupo</t>
        </is>
      </c>
      <c r="F19" s="97" t="inlineStr">
        <is>
          <t>Igual (copiado tal cual)</t>
        </is>
      </c>
    </row>
    <row r="21">
      <c r="B21" t="inlineStr">
        <is>
          <t>Business plan (Álvaro)</t>
        </is>
      </c>
      <c r="C21" t="inlineStr">
        <is>
          <t>Hoja Business_Plan</t>
        </is>
      </c>
      <c r="D21" t="inlineStr">
        <is>
          <t>—</t>
        </is>
      </c>
      <c r="E21" t="inlineStr">
        <is>
          <t>Drivers año a año de 4 casos (Base P50, Bull P80, Bear P20, Bank case P10) de la simulación de Monte Carlo</t>
        </is>
      </c>
    </row>
    <row r="22">
      <c r="B22" t="inlineStr">
        <is>
          <t>Business plan (Álvaro)</t>
        </is>
      </c>
      <c r="C22" t="inlineStr">
        <is>
          <t>N10:R17, F18</t>
        </is>
      </c>
      <c r="D22">
        <f>+$H10 (constante)</f>
        <v/>
      </c>
      <c r="E22">
        <f>Palancas_calc!… (caso elegido + palancas). F18 = 0 vuelve a los presets planos</f>
        <v/>
      </c>
    </row>
    <row r="23">
      <c r="B23" t="inlineStr">
        <is>
          <t>Plan de creación de valor</t>
        </is>
      </c>
      <c r="C23" t="inlineStr">
        <is>
          <t>Hojas Palancas y Palancas_calc</t>
        </is>
      </c>
      <c r="D23" t="inlineStr">
        <is>
          <t>—</t>
        </is>
      </c>
      <c r="E23" t="inlineStr">
        <is>
          <t>Panel de control con 8 palancas y barómetro. Palancas!D4 = 0 desactiva el plan</t>
        </is>
      </c>
    </row>
    <row r="24">
      <c r="B24" t="inlineStr">
        <is>
          <t>Plan de creación de valor</t>
        </is>
      </c>
      <c r="C24" t="inlineStr">
        <is>
          <t>E195</t>
        </is>
      </c>
      <c r="D24">
        <f>+F173</f>
        <v/>
      </c>
      <c r="E24">
        <f>+F173 + caja de la PropCo</f>
        <v/>
      </c>
    </row>
    <row r="25">
      <c r="B25" t="inlineStr">
        <is>
          <t>Plan de creación de valor</t>
        </is>
      </c>
      <c r="C25" t="inlineStr">
        <is>
          <t>N88:R88, N153:R154</t>
        </is>
      </c>
      <c r="D25" t="inlineStr">
        <is>
          <t>0 / sin recap</t>
        </is>
      </c>
      <c r="E25" t="inlineStr">
        <is>
          <t>Recap: nueva TLB en el año elegido hasta la deuda senior neta objetivo; se paga como dividendo</t>
        </is>
      </c>
    </row>
    <row r="26">
      <c r="B26" t="inlineStr">
        <is>
          <t>Business plan (Álvaro)</t>
        </is>
      </c>
      <c r="C26" t="inlineStr">
        <is>
          <t>F9, I7:I17, H8:H17</t>
        </is>
      </c>
      <c r="D26" t="inlineStr">
        <is>
          <t>Selector 1-3</t>
        </is>
      </c>
      <c r="E26" t="inlineStr">
        <is>
          <t>Selector 1-4 (4 = Bank case)</t>
        </is>
      </c>
    </row>
    <row r="27">
      <c r="B27" t="inlineStr">
        <is>
          <t>Estructura del grupo</t>
        </is>
      </c>
      <c r="C27" t="inlineStr">
        <is>
          <t>F165</t>
        </is>
      </c>
      <c r="D27" t="inlineStr">
        <is>
          <t>5 %</t>
        </is>
      </c>
      <c r="E27" t="inlineStr">
        <is>
          <t>20% (prima acordada)</t>
        </is>
      </c>
    </row>
    <row r="28">
      <c r="B28" t="inlineStr">
        <is>
          <t>Estructura del grupo</t>
        </is>
      </c>
      <c r="C28" t="inlineStr">
        <is>
          <t>G178:G181</t>
        </is>
      </c>
      <c r="D28" t="inlineStr">
        <is>
          <t>2,0 / 2,0 / 1,0 / 1,0 = 6,0x</t>
        </is>
      </c>
      <c r="E28" t="inlineStr">
        <is>
          <t>2.25 / 2.25 / 1.50 / 1.00 = 7.0x (senior 4,5x). El check 8 (senior &lt; 4,0x) sale CHECK a propósito</t>
        </is>
      </c>
    </row>
  </sheetData>
  <mergeCells count="1">
    <mergeCell ref="E2:F2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Jesus Longás</dc:creator>
  <dc:language>en-US</dc:language>
  <dcterms:created xsi:type="dcterms:W3CDTF">2024-02-23T12:53:07Z</dcterms:created>
  <dcterms:modified xsi:type="dcterms:W3CDTF">2026-10-27T17:32:24Z</dcterms:modified>
  <cp:lastModifiedBy>JAVIER LAZARO RODRIGUEZ</cp:lastModifiedBy>
  <cp:revision>0</cp:revision>
</cp:coreProperties>
</file>